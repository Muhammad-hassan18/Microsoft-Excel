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EXcel course/"/>
    </mc:Choice>
  </mc:AlternateContent>
  <xr:revisionPtr revIDLastSave="21" documentId="8_{974F7E41-7777-40A3-B690-291A84864337}" xr6:coauthVersionLast="47" xr6:coauthVersionMax="47" xr10:uidLastSave="{3BC4648F-2EC0-4D92-8851-E9044EA8406E}"/>
  <bookViews>
    <workbookView xWindow="-110" yWindow="-110" windowWidth="19420" windowHeight="11020" xr2:uid="{881742CA-EFA3-4E6B-B9CC-012745125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L3" i="1"/>
  <c r="N3" i="1" s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3" i="1" a="1"/>
  <c r="N13" i="1" s="1"/>
  <c r="M4" i="1"/>
  <c r="M5" i="1"/>
  <c r="M6" i="1"/>
  <c r="M7" i="1"/>
  <c r="M8" i="1"/>
  <c r="M9" i="1"/>
  <c r="M10" i="1"/>
  <c r="M13" i="1"/>
  <c r="L4" i="1"/>
  <c r="L5" i="1"/>
  <c r="L6" i="1"/>
  <c r="L7" i="1"/>
  <c r="L8" i="1"/>
  <c r="L9" i="1"/>
  <c r="L10" i="1"/>
  <c r="L11" i="1"/>
  <c r="M11" i="1" s="1"/>
  <c r="L12" i="1"/>
  <c r="N12" i="1" s="1" a="1"/>
  <c r="N12" i="1" s="1"/>
  <c r="L13" i="1"/>
  <c r="K4" i="1"/>
  <c r="K5" i="1"/>
  <c r="K6" i="1"/>
  <c r="K7" i="1"/>
  <c r="K8" i="1"/>
  <c r="K9" i="1"/>
  <c r="K10" i="1"/>
  <c r="K11" i="1"/>
  <c r="K12" i="1"/>
  <c r="K13" i="1"/>
  <c r="K3" i="1"/>
  <c r="J4" i="1"/>
  <c r="J5" i="1"/>
  <c r="J6" i="1"/>
  <c r="J7" i="1"/>
  <c r="J8" i="1"/>
  <c r="J9" i="1"/>
  <c r="J10" i="1"/>
  <c r="J11" i="1"/>
  <c r="J12" i="1"/>
  <c r="J13" i="1"/>
  <c r="J3" i="1"/>
  <c r="I11" i="1"/>
  <c r="I12" i="1"/>
  <c r="I13" i="1"/>
  <c r="I5" i="1"/>
  <c r="I6" i="1"/>
  <c r="I7" i="1"/>
  <c r="I8" i="1"/>
  <c r="I9" i="1"/>
  <c r="I10" i="1"/>
  <c r="I4" i="1"/>
  <c r="I3" i="1"/>
  <c r="H1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13" i="1"/>
  <c r="G3" i="1"/>
  <c r="M1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<sst xmlns="http://schemas.openxmlformats.org/spreadsheetml/2006/main" count="18" uniqueCount="16">
  <si>
    <t>english</t>
  </si>
  <si>
    <t>math</t>
  </si>
  <si>
    <t>science</t>
  </si>
  <si>
    <t>urdu</t>
  </si>
  <si>
    <t>history</t>
  </si>
  <si>
    <t>computer</t>
  </si>
  <si>
    <t xml:space="preserve"> count</t>
  </si>
  <si>
    <t>countA</t>
  </si>
  <si>
    <t>countblank</t>
  </si>
  <si>
    <t>ab</t>
  </si>
  <si>
    <t>marks less than 40</t>
  </si>
  <si>
    <t>marls greater than 90</t>
  </si>
  <si>
    <t>total marks</t>
  </si>
  <si>
    <t>result</t>
  </si>
  <si>
    <t>grades</t>
  </si>
  <si>
    <t>STUDENTS RESULT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</si>
</sst>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D37F-8BB5-4DF8-9343-8B14C27F07E5}">
  <dimension ref="A1:N21"/>
  <sheetViews>
    <sheetView tabSelected="1" zoomScale="91" zoomScaleNormal="85" workbookViewId="0">
      <selection activeCell="I8" sqref="I8"/>
    </sheetView>
  </sheetViews>
  <sheetFormatPr defaultRowHeight="14.5" x14ac:dyDescent="0.35"/>
  <cols>
    <col min="9" max="9" width="10.26953125" bestFit="1" customWidth="1"/>
    <col min="10" max="10" width="16.54296875" bestFit="1" customWidth="1"/>
    <col min="11" max="11" width="20.08984375" customWidth="1"/>
    <col min="12" max="12" width="12.54296875" customWidth="1"/>
    <col min="13" max="13" width="9.90625" customWidth="1"/>
  </cols>
  <sheetData>
    <row r="1" spans="1:14" ht="21" x14ac:dyDescent="0.35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0.5" customHeigh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35">
      <c r="A3" s="1">
        <v>43</v>
      </c>
      <c r="B3" s="1">
        <v>65</v>
      </c>
      <c r="C3" s="1">
        <v>29</v>
      </c>
      <c r="D3" s="1">
        <v>87</v>
      </c>
      <c r="E3" s="1">
        <v>89</v>
      </c>
      <c r="F3" s="1">
        <v>65</v>
      </c>
      <c r="G3">
        <f>COUNT(A3:F3)</f>
        <v>6</v>
      </c>
      <c r="H3">
        <f>COUNTA(A3:F3)</f>
        <v>6</v>
      </c>
      <c r="I3">
        <f>COUNTBLANK(A2:F3)</f>
        <v>0</v>
      </c>
      <c r="J3">
        <f>COUNTIF(A3:F3,"&lt;40")</f>
        <v>1</v>
      </c>
      <c r="K3">
        <f>COUNTIF(A3:F3,"&gt;90")</f>
        <v>0</v>
      </c>
      <c r="L3" s="1">
        <f>SUM(A3:F3)</f>
        <v>378</v>
      </c>
      <c r="M3" t="str">
        <f>IF(L3&lt;250,"fail","pass")</f>
        <v>pass</v>
      </c>
      <c r="N3" t="str" cm="1">
        <f t="array" ref="N3">_xlfn.IFS(L3&gt;=350,"A",L3&gt;=300,"B",L3&gt;=250,"C",L3&lt;250,"F")</f>
        <v>A</v>
      </c>
    </row>
    <row r="4" spans="1:14" x14ac:dyDescent="0.35">
      <c r="A4" s="1">
        <v>54</v>
      </c>
      <c r="B4" s="1">
        <v>76</v>
      </c>
      <c r="C4" s="1">
        <v>54</v>
      </c>
      <c r="D4" s="1"/>
      <c r="E4" s="1">
        <v>98</v>
      </c>
      <c r="F4" s="1"/>
      <c r="G4">
        <f t="shared" ref="G4:G13" si="0">COUNT(A4:F4)</f>
        <v>4</v>
      </c>
      <c r="H4">
        <f t="shared" ref="H4:H13" si="1">COUNTA(A4:F4)</f>
        <v>4</v>
      </c>
      <c r="I4">
        <f>COUNTBLANK(A4:F4)</f>
        <v>2</v>
      </c>
      <c r="J4">
        <f t="shared" ref="J4:J13" si="2">COUNTIF(A4:F4,"&lt;40")</f>
        <v>0</v>
      </c>
      <c r="K4">
        <f t="shared" ref="K4:K13" si="3">COUNTIF(A4:F4,"&gt;90")</f>
        <v>1</v>
      </c>
      <c r="L4" s="1">
        <f t="shared" ref="L4:L13" si="4">SUM(A4:F4)</f>
        <v>282</v>
      </c>
      <c r="M4" t="str">
        <f t="shared" ref="M4:M13" si="5">IF(L4&lt;250,"fail","pass")</f>
        <v>pass</v>
      </c>
      <c r="N4" t="str" cm="1">
        <f t="array" ref="N4">_xlfn.IFS(L4&gt;=350,"A",L4&gt;=300,"B",L4&gt;=250,"C",L4&lt;250,"F")</f>
        <v>C</v>
      </c>
    </row>
    <row r="5" spans="1:14" x14ac:dyDescent="0.35">
      <c r="A5" s="1">
        <v>54</v>
      </c>
      <c r="B5" s="1">
        <v>54</v>
      </c>
      <c r="C5" s="1">
        <v>88</v>
      </c>
      <c r="D5" s="1">
        <v>87</v>
      </c>
      <c r="E5" s="1"/>
      <c r="F5" s="1">
        <v>65</v>
      </c>
      <c r="G5">
        <f t="shared" si="0"/>
        <v>5</v>
      </c>
      <c r="H5">
        <f t="shared" si="1"/>
        <v>5</v>
      </c>
      <c r="I5">
        <f t="shared" ref="I5:I13" si="6">COUNTBLANK(A5:F5)</f>
        <v>1</v>
      </c>
      <c r="J5">
        <f t="shared" si="2"/>
        <v>0</v>
      </c>
      <c r="K5">
        <f t="shared" si="3"/>
        <v>0</v>
      </c>
      <c r="L5" s="1">
        <f t="shared" si="4"/>
        <v>348</v>
      </c>
      <c r="M5" t="str">
        <f t="shared" si="5"/>
        <v>pass</v>
      </c>
      <c r="N5" t="str" cm="1">
        <f t="array" ref="N5">_xlfn.IFS(L5&gt;=350,"A",L5&gt;=300,"B",L5&gt;=250,"C",L5&lt;250,"F")</f>
        <v>B</v>
      </c>
    </row>
    <row r="6" spans="1:14" x14ac:dyDescent="0.35">
      <c r="A6" s="1" t="s">
        <v>9</v>
      </c>
      <c r="B6" s="1">
        <v>54</v>
      </c>
      <c r="C6" s="1">
        <v>43</v>
      </c>
      <c r="D6" s="1">
        <v>67</v>
      </c>
      <c r="E6" s="1">
        <v>78</v>
      </c>
      <c r="F6" s="1">
        <v>54</v>
      </c>
      <c r="G6">
        <f t="shared" si="0"/>
        <v>5</v>
      </c>
      <c r="H6">
        <f t="shared" si="1"/>
        <v>6</v>
      </c>
      <c r="I6">
        <f t="shared" si="6"/>
        <v>0</v>
      </c>
      <c r="J6">
        <f t="shared" si="2"/>
        <v>0</v>
      </c>
      <c r="K6">
        <f t="shared" si="3"/>
        <v>0</v>
      </c>
      <c r="L6" s="1">
        <f t="shared" si="4"/>
        <v>296</v>
      </c>
      <c r="M6" t="str">
        <f t="shared" si="5"/>
        <v>pass</v>
      </c>
      <c r="N6" t="str" cm="1">
        <f t="array" ref="N6">_xlfn.IFS(L6&gt;=350,"A",L6&gt;=300,"B",L6&gt;=250,"C",L6&lt;250,"F")</f>
        <v>C</v>
      </c>
    </row>
    <row r="7" spans="1:14" x14ac:dyDescent="0.35">
      <c r="A7" s="1">
        <v>44</v>
      </c>
      <c r="B7" s="1" t="s">
        <v>9</v>
      </c>
      <c r="C7" s="1">
        <v>65</v>
      </c>
      <c r="D7" s="1"/>
      <c r="E7" s="1">
        <v>87</v>
      </c>
      <c r="F7" s="1"/>
      <c r="G7">
        <f t="shared" si="0"/>
        <v>3</v>
      </c>
      <c r="H7">
        <f t="shared" si="1"/>
        <v>4</v>
      </c>
      <c r="I7">
        <f t="shared" si="6"/>
        <v>2</v>
      </c>
      <c r="J7">
        <f t="shared" si="2"/>
        <v>0</v>
      </c>
      <c r="K7">
        <f t="shared" si="3"/>
        <v>0</v>
      </c>
      <c r="L7" s="1">
        <f t="shared" si="4"/>
        <v>196</v>
      </c>
      <c r="M7" t="str">
        <f t="shared" si="5"/>
        <v>fail</v>
      </c>
      <c r="N7" t="str" cm="1">
        <f t="array" ref="N7">_xlfn.IFS(L7&gt;=350,"A",L7&gt;=300,"B",L7&gt;=250,"C",L7&lt;250,"F")</f>
        <v>F</v>
      </c>
    </row>
    <row r="8" spans="1:14" x14ac:dyDescent="0.35">
      <c r="A8" s="1">
        <v>67</v>
      </c>
      <c r="B8" s="1">
        <v>67</v>
      </c>
      <c r="C8" s="1">
        <v>45</v>
      </c>
      <c r="D8" s="1">
        <v>56</v>
      </c>
      <c r="E8" s="1">
        <v>77</v>
      </c>
      <c r="F8" s="1">
        <v>54</v>
      </c>
      <c r="G8">
        <f t="shared" si="0"/>
        <v>6</v>
      </c>
      <c r="H8">
        <f t="shared" si="1"/>
        <v>6</v>
      </c>
      <c r="I8">
        <f t="shared" si="6"/>
        <v>0</v>
      </c>
      <c r="J8">
        <f t="shared" si="2"/>
        <v>0</v>
      </c>
      <c r="K8">
        <f t="shared" si="3"/>
        <v>0</v>
      </c>
      <c r="L8" s="1">
        <f t="shared" si="4"/>
        <v>366</v>
      </c>
      <c r="M8" t="str">
        <f t="shared" si="5"/>
        <v>pass</v>
      </c>
      <c r="N8" t="str" cm="1">
        <f t="array" ref="N8">_xlfn.IFS(L8&gt;=350,"A",L8&gt;=300,"B",L8&gt;=250,"C",L8&lt;250,"F")</f>
        <v>A</v>
      </c>
    </row>
    <row r="9" spans="1:14" x14ac:dyDescent="0.35">
      <c r="A9" s="1">
        <v>45</v>
      </c>
      <c r="B9" s="1">
        <v>45</v>
      </c>
      <c r="C9" s="1">
        <v>89</v>
      </c>
      <c r="D9" s="1">
        <v>87</v>
      </c>
      <c r="E9" s="1"/>
      <c r="F9" s="1">
        <v>45</v>
      </c>
      <c r="G9">
        <f t="shared" si="0"/>
        <v>5</v>
      </c>
      <c r="H9">
        <f t="shared" si="1"/>
        <v>5</v>
      </c>
      <c r="I9">
        <f t="shared" si="6"/>
        <v>1</v>
      </c>
      <c r="J9">
        <f t="shared" si="2"/>
        <v>0</v>
      </c>
      <c r="K9">
        <f t="shared" si="3"/>
        <v>0</v>
      </c>
      <c r="L9" s="1">
        <f t="shared" si="4"/>
        <v>311</v>
      </c>
      <c r="M9" t="str">
        <f t="shared" si="5"/>
        <v>pass</v>
      </c>
      <c r="N9" t="str" cm="1">
        <f t="array" ref="N9">_xlfn.IFS(L9&gt;=350,"A",L9&gt;=300,"B",L9&gt;=250,"C",L9&lt;250,"F")</f>
        <v>B</v>
      </c>
    </row>
    <row r="10" spans="1:14" x14ac:dyDescent="0.35">
      <c r="A10" s="1">
        <v>56</v>
      </c>
      <c r="B10" s="1">
        <v>54</v>
      </c>
      <c r="C10" s="1">
        <v>22</v>
      </c>
      <c r="D10" s="1">
        <v>39</v>
      </c>
      <c r="E10" s="1">
        <v>76</v>
      </c>
      <c r="F10" s="1">
        <v>76</v>
      </c>
      <c r="G10">
        <f t="shared" si="0"/>
        <v>6</v>
      </c>
      <c r="H10">
        <f t="shared" si="1"/>
        <v>6</v>
      </c>
      <c r="I10">
        <f t="shared" si="6"/>
        <v>0</v>
      </c>
      <c r="J10">
        <f t="shared" si="2"/>
        <v>2</v>
      </c>
      <c r="K10">
        <f t="shared" si="3"/>
        <v>0</v>
      </c>
      <c r="L10" s="1">
        <f t="shared" si="4"/>
        <v>323</v>
      </c>
      <c r="M10" t="str">
        <f t="shared" si="5"/>
        <v>pass</v>
      </c>
      <c r="N10" t="str" cm="1">
        <f t="array" ref="N10">_xlfn.IFS(L10&gt;=350,"A",L10&gt;=300,"B",L10&gt;=250,"C",L10&lt;250,"F")</f>
        <v>B</v>
      </c>
    </row>
    <row r="11" spans="1:14" x14ac:dyDescent="0.35">
      <c r="A11" s="1">
        <v>55</v>
      </c>
      <c r="B11" s="1">
        <v>90</v>
      </c>
      <c r="C11" s="1">
        <v>54</v>
      </c>
      <c r="D11" s="1"/>
      <c r="E11" s="1">
        <v>97</v>
      </c>
      <c r="F11" s="1"/>
      <c r="G11">
        <f t="shared" si="0"/>
        <v>4</v>
      </c>
      <c r="H11">
        <f t="shared" si="1"/>
        <v>4</v>
      </c>
      <c r="I11">
        <f>COUNTBLANK(A11:F11)</f>
        <v>2</v>
      </c>
      <c r="J11">
        <f t="shared" si="2"/>
        <v>0</v>
      </c>
      <c r="K11">
        <f t="shared" si="3"/>
        <v>1</v>
      </c>
      <c r="L11" s="1">
        <f t="shared" si="4"/>
        <v>296</v>
      </c>
      <c r="M11" t="str">
        <f t="shared" si="5"/>
        <v>pass</v>
      </c>
      <c r="N11" t="str" cm="1">
        <f t="array" ref="N11">_xlfn.IFS(L11&gt;=350,"A",L11&gt;=300,"B",L11&gt;=250,"C",L11&lt;250,"F")</f>
        <v>C</v>
      </c>
    </row>
    <row r="12" spans="1:14" x14ac:dyDescent="0.35">
      <c r="A12" s="1">
        <v>76</v>
      </c>
      <c r="B12" s="1">
        <v>56</v>
      </c>
      <c r="C12" s="1">
        <v>21</v>
      </c>
      <c r="D12" s="1">
        <v>88</v>
      </c>
      <c r="E12" s="1"/>
      <c r="F12" s="1">
        <v>34</v>
      </c>
      <c r="G12">
        <f t="shared" si="0"/>
        <v>5</v>
      </c>
      <c r="H12">
        <f t="shared" si="1"/>
        <v>5</v>
      </c>
      <c r="I12">
        <f>COUNTBLANK(A12:F12)</f>
        <v>1</v>
      </c>
      <c r="J12">
        <f t="shared" si="2"/>
        <v>2</v>
      </c>
      <c r="K12">
        <f t="shared" si="3"/>
        <v>0</v>
      </c>
      <c r="L12" s="1">
        <f t="shared" si="4"/>
        <v>275</v>
      </c>
      <c r="M12" t="str">
        <f t="shared" si="5"/>
        <v>pass</v>
      </c>
      <c r="N12" t="str" cm="1">
        <f t="array" ref="N12">_xlfn.IFS(L12&gt;=350,"A",L12&gt;=300,"B",L12&gt;=250,"C",L12&lt;250,"F")</f>
        <v>C</v>
      </c>
    </row>
    <row r="13" spans="1:14" x14ac:dyDescent="0.35">
      <c r="A13" s="1">
        <v>56</v>
      </c>
      <c r="B13" s="1">
        <v>76</v>
      </c>
      <c r="C13" s="1"/>
      <c r="D13" s="1" t="s">
        <v>9</v>
      </c>
      <c r="E13" s="1">
        <v>65</v>
      </c>
      <c r="F13" s="1">
        <v>30</v>
      </c>
      <c r="G13">
        <f t="shared" si="0"/>
        <v>4</v>
      </c>
      <c r="H13">
        <f>COUNTA(A13:F13)</f>
        <v>5</v>
      </c>
      <c r="I13">
        <f>COUNTBLANK(A13:F13)</f>
        <v>1</v>
      </c>
      <c r="J13">
        <f t="shared" si="2"/>
        <v>1</v>
      </c>
      <c r="K13">
        <f t="shared" si="3"/>
        <v>0</v>
      </c>
      <c r="L13" s="1">
        <f t="shared" si="4"/>
        <v>227</v>
      </c>
      <c r="M13" t="str">
        <f t="shared" si="5"/>
        <v>fail</v>
      </c>
      <c r="N13" t="str" cm="1">
        <f t="array" ref="N13">_xlfn.IFS(L13&gt;=350,"A",L13&gt;=300,"B",L13&gt;=250,"C",L13&lt;250,"F")</f>
        <v>F</v>
      </c>
    </row>
    <row r="14" spans="1:14" x14ac:dyDescent="0.35">
      <c r="A14" s="1"/>
      <c r="B14" s="1"/>
      <c r="C14" s="1"/>
      <c r="D14" s="1"/>
      <c r="E14" s="1"/>
      <c r="F14" s="1"/>
    </row>
    <row r="15" spans="1:14" x14ac:dyDescent="0.35">
      <c r="A15" s="1"/>
      <c r="B15" s="1"/>
      <c r="C15" s="1"/>
      <c r="D15" s="1"/>
      <c r="E15" s="1"/>
      <c r="F15" s="1"/>
    </row>
    <row r="16" spans="1:14" x14ac:dyDescent="0.35">
      <c r="A16" s="1"/>
      <c r="B16" s="1"/>
      <c r="C16" s="1"/>
      <c r="D16" s="1"/>
      <c r="E16" s="1"/>
      <c r="F16" s="1"/>
    </row>
    <row r="17" spans="1:6" x14ac:dyDescent="0.35">
      <c r="A17" s="1"/>
      <c r="B17" s="1"/>
      <c r="C17" s="1"/>
      <c r="D17" s="1"/>
      <c r="E17" s="1"/>
      <c r="F17" s="1"/>
    </row>
    <row r="18" spans="1:6" x14ac:dyDescent="0.35">
      <c r="A18" s="1"/>
      <c r="B18" s="1"/>
      <c r="C18" s="1"/>
      <c r="D18" s="1"/>
      <c r="E18" s="1"/>
      <c r="F18" s="1"/>
    </row>
    <row r="19" spans="1:6" x14ac:dyDescent="0.35">
      <c r="A19" s="1"/>
      <c r="B19" s="1"/>
      <c r="C19" s="1"/>
      <c r="D19" s="1"/>
      <c r="E19" s="1"/>
      <c r="F19" s="1"/>
    </row>
    <row r="20" spans="1:6" x14ac:dyDescent="0.35">
      <c r="A20" s="1"/>
      <c r="B20" s="1"/>
      <c r="C20" s="1"/>
      <c r="D20" s="1"/>
      <c r="E20" s="1"/>
      <c r="F20" s="1"/>
    </row>
    <row r="21" spans="1:6" x14ac:dyDescent="0.35">
      <c r="A21" s="1"/>
      <c r="B21" s="1"/>
      <c r="C21" s="1"/>
      <c r="D21" s="1"/>
      <c r="E21" s="1"/>
      <c r="F21" s="1"/>
    </row>
  </sheetData>
  <mergeCells count="1"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HASSAN</dc:creator>
  <cp:lastModifiedBy>MUHAMMAD HASSAN</cp:lastModifiedBy>
  <dcterms:created xsi:type="dcterms:W3CDTF">2026-07-21T11:59:48Z</dcterms:created>
  <dcterms:modified xsi:type="dcterms:W3CDTF">2026-07-21T14:45:34Z</dcterms:modified>
</cp:coreProperties>
</file>