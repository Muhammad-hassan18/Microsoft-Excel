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37" documentId="11_AD142997D165DECEEB3B98154B5DCE3A67443688" xr6:coauthVersionLast="47" xr6:coauthVersionMax="47" xr10:uidLastSave="{C8A2359B-8B03-4839-8607-47169FA6AB4A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6" i="1" l="1" a="1"/>
  <c r="I96" i="1" s="1"/>
  <c r="P96" i="1" s="1"/>
  <c r="I95" i="1" a="1"/>
  <c r="I95" i="1" s="1"/>
  <c r="P95" i="1" s="1"/>
  <c r="I94" i="1" a="1"/>
  <c r="I94" i="1" s="1"/>
  <c r="O94" i="1" s="1"/>
  <c r="I93" i="1" a="1"/>
  <c r="I93" i="1" s="1"/>
  <c r="O93" i="1" s="1"/>
  <c r="I92" i="1" a="1"/>
  <c r="I92" i="1" s="1"/>
  <c r="O92" i="1" s="1"/>
  <c r="I91" i="1" a="1"/>
  <c r="I91" i="1" s="1"/>
  <c r="O91" i="1" s="1"/>
  <c r="I90" i="1" a="1"/>
  <c r="I90" i="1" s="1"/>
  <c r="P90" i="1" s="1"/>
  <c r="I89" i="1" a="1"/>
  <c r="I89" i="1" s="1"/>
  <c r="P89" i="1" s="1"/>
  <c r="I88" i="1" a="1"/>
  <c r="I88" i="1" s="1"/>
  <c r="P88" i="1" s="1"/>
  <c r="I87" i="1" a="1"/>
  <c r="I87" i="1" s="1"/>
  <c r="P87" i="1" s="1"/>
  <c r="I86" i="1" a="1"/>
  <c r="I86" i="1" s="1"/>
  <c r="O86" i="1" s="1"/>
  <c r="I85" i="1" a="1"/>
  <c r="I85" i="1" s="1"/>
  <c r="O85" i="1" s="1"/>
  <c r="I84" i="1" a="1"/>
  <c r="I84" i="1" s="1"/>
  <c r="O84" i="1" s="1"/>
  <c r="I83" i="1" a="1"/>
  <c r="I83" i="1" s="1"/>
  <c r="O83" i="1" s="1"/>
  <c r="I82" i="1" a="1"/>
  <c r="I82" i="1" s="1"/>
  <c r="P82" i="1" s="1"/>
  <c r="I81" i="1" a="1"/>
  <c r="I81" i="1" s="1"/>
  <c r="P81" i="1" s="1"/>
  <c r="I80" i="1" a="1"/>
  <c r="I80" i="1" s="1"/>
  <c r="P80" i="1" s="1"/>
  <c r="I79" i="1" a="1"/>
  <c r="I79" i="1" s="1"/>
  <c r="P79" i="1" s="1"/>
  <c r="I78" i="1" a="1"/>
  <c r="I78" i="1" s="1"/>
  <c r="O78" i="1" s="1"/>
  <c r="I77" i="1" a="1"/>
  <c r="I77" i="1" s="1"/>
  <c r="O77" i="1" s="1"/>
  <c r="I76" i="1" a="1"/>
  <c r="I76" i="1" s="1"/>
  <c r="O76" i="1" s="1"/>
  <c r="I75" i="1" a="1"/>
  <c r="I75" i="1" s="1"/>
  <c r="O75" i="1" s="1"/>
  <c r="I74" i="1" a="1"/>
  <c r="I74" i="1" s="1"/>
  <c r="P74" i="1" s="1"/>
  <c r="I73" i="1" a="1"/>
  <c r="I73" i="1" s="1"/>
  <c r="P73" i="1" s="1"/>
  <c r="I72" i="1" a="1"/>
  <c r="I72" i="1" s="1"/>
  <c r="P72" i="1" s="1"/>
  <c r="I71" i="1" a="1"/>
  <c r="I71" i="1" s="1"/>
  <c r="P71" i="1" s="1"/>
  <c r="I70" i="1" a="1"/>
  <c r="I70" i="1" s="1"/>
  <c r="O70" i="1" s="1"/>
  <c r="I69" i="1" a="1"/>
  <c r="I69" i="1" s="1"/>
  <c r="O69" i="1" s="1"/>
  <c r="I68" i="1" a="1"/>
  <c r="I68" i="1" s="1"/>
  <c r="O68" i="1" s="1"/>
  <c r="I67" i="1" a="1"/>
  <c r="I67" i="1" s="1"/>
  <c r="O67" i="1" s="1"/>
  <c r="I66" i="1" a="1"/>
  <c r="I66" i="1" s="1"/>
  <c r="P66" i="1" s="1"/>
  <c r="I65" i="1" a="1"/>
  <c r="I65" i="1" s="1"/>
  <c r="P65" i="1" s="1"/>
  <c r="I64" i="1" a="1"/>
  <c r="I64" i="1" s="1"/>
  <c r="P64" i="1" s="1"/>
  <c r="I63" i="1" a="1"/>
  <c r="I63" i="1" s="1"/>
  <c r="P63" i="1" s="1"/>
  <c r="I62" i="1" a="1"/>
  <c r="I62" i="1" s="1"/>
  <c r="O62" i="1" s="1"/>
  <c r="I61" i="1" a="1"/>
  <c r="I61" i="1" s="1"/>
  <c r="O61" i="1" s="1"/>
  <c r="I60" i="1" a="1"/>
  <c r="I60" i="1" s="1"/>
  <c r="O60" i="1" s="1"/>
  <c r="I59" i="1" a="1"/>
  <c r="I59" i="1" s="1"/>
  <c r="O59" i="1" s="1"/>
  <c r="I58" i="1" a="1"/>
  <c r="I58" i="1" s="1"/>
  <c r="P58" i="1" s="1"/>
  <c r="I57" i="1" a="1"/>
  <c r="I57" i="1" s="1"/>
  <c r="P57" i="1" s="1"/>
  <c r="I56" i="1" a="1"/>
  <c r="I56" i="1" s="1"/>
  <c r="P56" i="1" s="1"/>
  <c r="I55" i="1" a="1"/>
  <c r="I55" i="1" s="1"/>
  <c r="P55" i="1" s="1"/>
  <c r="I54" i="1" a="1"/>
  <c r="I54" i="1" s="1"/>
  <c r="O54" i="1" s="1"/>
  <c r="I53" i="1" a="1"/>
  <c r="I53" i="1" s="1"/>
  <c r="O53" i="1" s="1"/>
  <c r="I52" i="1" a="1"/>
  <c r="I52" i="1" s="1"/>
  <c r="O52" i="1" s="1"/>
  <c r="I51" i="1" a="1"/>
  <c r="I51" i="1" s="1"/>
  <c r="O51" i="1" s="1"/>
  <c r="I50" i="1" a="1"/>
  <c r="I50" i="1" s="1"/>
  <c r="P50" i="1" s="1"/>
  <c r="I49" i="1" a="1"/>
  <c r="I49" i="1" s="1"/>
  <c r="P49" i="1" s="1"/>
  <c r="I48" i="1" a="1"/>
  <c r="I48" i="1" s="1"/>
  <c r="P48" i="1" s="1"/>
  <c r="I47" i="1" a="1"/>
  <c r="I47" i="1" s="1"/>
  <c r="P47" i="1" s="1"/>
  <c r="I46" i="1" a="1"/>
  <c r="I46" i="1" s="1"/>
  <c r="O46" i="1" s="1"/>
  <c r="I45" i="1" a="1"/>
  <c r="I45" i="1" s="1"/>
  <c r="O45" i="1" s="1"/>
  <c r="I44" i="1" a="1"/>
  <c r="I44" i="1" s="1"/>
  <c r="O44" i="1" s="1"/>
  <c r="I43" i="1" a="1"/>
  <c r="I43" i="1" s="1"/>
  <c r="O43" i="1" s="1"/>
  <c r="I42" i="1" a="1"/>
  <c r="I42" i="1" s="1"/>
  <c r="P42" i="1" s="1"/>
  <c r="I41" i="1" a="1"/>
  <c r="I41" i="1" s="1"/>
  <c r="P41" i="1" s="1"/>
  <c r="I40" i="1" a="1"/>
  <c r="I40" i="1" s="1"/>
  <c r="P40" i="1" s="1"/>
  <c r="I39" i="1" a="1"/>
  <c r="I39" i="1" s="1"/>
  <c r="P39" i="1" s="1"/>
  <c r="I38" i="1" a="1"/>
  <c r="I38" i="1" s="1"/>
  <c r="O38" i="1" s="1"/>
  <c r="I37" i="1" a="1"/>
  <c r="I37" i="1" s="1"/>
  <c r="O37" i="1" s="1"/>
  <c r="I36" i="1" a="1"/>
  <c r="I36" i="1" s="1"/>
  <c r="O36" i="1" s="1"/>
  <c r="I35" i="1" a="1"/>
  <c r="I35" i="1" s="1"/>
  <c r="O35" i="1" s="1"/>
  <c r="I34" i="1" a="1"/>
  <c r="I34" i="1" s="1"/>
  <c r="P34" i="1" s="1"/>
  <c r="I33" i="1" a="1"/>
  <c r="I33" i="1" s="1"/>
  <c r="P33" i="1" s="1"/>
  <c r="I32" i="1" a="1"/>
  <c r="I32" i="1" s="1"/>
  <c r="P32" i="1" s="1"/>
  <c r="I31" i="1" a="1"/>
  <c r="I31" i="1" s="1"/>
  <c r="P31" i="1" s="1"/>
  <c r="I30" i="1" a="1"/>
  <c r="I30" i="1" s="1"/>
  <c r="O30" i="1" s="1"/>
  <c r="I29" i="1" a="1"/>
  <c r="I29" i="1" s="1"/>
  <c r="O29" i="1" s="1"/>
  <c r="I28" i="1" a="1"/>
  <c r="I28" i="1" s="1"/>
  <c r="O28" i="1" s="1"/>
  <c r="I27" i="1" a="1"/>
  <c r="I27" i="1" s="1"/>
  <c r="O27" i="1" s="1"/>
  <c r="I26" i="1" a="1"/>
  <c r="I26" i="1" s="1"/>
  <c r="P26" i="1" s="1"/>
  <c r="I25" i="1" a="1"/>
  <c r="I25" i="1" s="1"/>
  <c r="P25" i="1" s="1"/>
  <c r="I24" i="1" a="1"/>
  <c r="I24" i="1" s="1"/>
  <c r="P24" i="1" s="1"/>
  <c r="I23" i="1" a="1"/>
  <c r="I23" i="1" s="1"/>
  <c r="P23" i="1" s="1"/>
  <c r="I22" i="1" a="1"/>
  <c r="I22" i="1" s="1"/>
  <c r="O22" i="1" s="1"/>
  <c r="I21" i="1" a="1"/>
  <c r="I21" i="1" s="1"/>
  <c r="O21" i="1" s="1"/>
  <c r="I20" i="1" a="1"/>
  <c r="I20" i="1" s="1"/>
  <c r="O20" i="1" s="1"/>
  <c r="I19" i="1" a="1"/>
  <c r="I19" i="1" s="1"/>
  <c r="O19" i="1" s="1"/>
  <c r="I18" i="1" a="1"/>
  <c r="I18" i="1" s="1"/>
  <c r="P18" i="1" s="1"/>
  <c r="I17" i="1" a="1"/>
  <c r="I17" i="1" s="1"/>
  <c r="P17" i="1" s="1"/>
  <c r="I16" i="1" a="1"/>
  <c r="I16" i="1" s="1"/>
  <c r="P16" i="1" s="1"/>
  <c r="I15" i="1" a="1"/>
  <c r="I15" i="1" s="1"/>
  <c r="P15" i="1" s="1"/>
  <c r="I14" i="1" a="1"/>
  <c r="I14" i="1" s="1"/>
  <c r="O14" i="1" s="1"/>
  <c r="I13" i="1" a="1"/>
  <c r="I13" i="1" s="1"/>
  <c r="O13" i="1" s="1"/>
  <c r="I12" i="1" a="1"/>
  <c r="I12" i="1" s="1"/>
  <c r="O12" i="1" s="1"/>
  <c r="I11" i="1" a="1"/>
  <c r="I11" i="1" s="1"/>
  <c r="O11" i="1" s="1"/>
  <c r="I10" i="1" a="1"/>
  <c r="I10" i="1" s="1"/>
  <c r="P10" i="1" s="1"/>
  <c r="I9" i="1" a="1"/>
  <c r="I9" i="1" s="1"/>
  <c r="P9" i="1" s="1"/>
  <c r="I8" i="1" a="1"/>
  <c r="I8" i="1" s="1"/>
  <c r="P8" i="1" s="1"/>
  <c r="I7" i="1" a="1"/>
  <c r="I7" i="1" s="1"/>
  <c r="P7" i="1" s="1"/>
  <c r="I6" i="1" a="1"/>
  <c r="I6" i="1" s="1"/>
  <c r="O6" i="1" s="1"/>
  <c r="I5" i="1" a="1"/>
  <c r="I5" i="1" s="1"/>
  <c r="O5" i="1" s="1"/>
  <c r="I4" i="1" a="1"/>
  <c r="I4" i="1" s="1"/>
  <c r="O4" i="1" s="1"/>
  <c r="I3" i="1" a="1"/>
  <c r="I3" i="1" s="1"/>
  <c r="O3" i="1" s="1"/>
  <c r="I2" i="1" a="1"/>
  <c r="I2" i="1" s="1"/>
  <c r="O2" i="1" s="1"/>
  <c r="I101" i="1" a="1"/>
  <c r="I101" i="1" s="1"/>
  <c r="O101" i="1" s="1"/>
  <c r="I100" i="1" a="1"/>
  <c r="I100" i="1" s="1"/>
  <c r="O100" i="1" s="1"/>
  <c r="I99" i="1" a="1"/>
  <c r="I99" i="1" s="1"/>
  <c r="O99" i="1" s="1"/>
  <c r="I98" i="1" a="1"/>
  <c r="I98" i="1" s="1"/>
  <c r="P98" i="1" s="1"/>
  <c r="I97" i="1" a="1"/>
  <c r="I97" i="1" s="1"/>
  <c r="P97" i="1" s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O98" i="1" l="1"/>
  <c r="Q98" i="1" s="1"/>
  <c r="O90" i="1"/>
  <c r="Q90" i="1" s="1"/>
  <c r="O82" i="1"/>
  <c r="Q82" i="1" s="1"/>
  <c r="O74" i="1"/>
  <c r="Q74" i="1" s="1"/>
  <c r="O66" i="1"/>
  <c r="Q66" i="1" s="1"/>
  <c r="O58" i="1"/>
  <c r="Q58" i="1" s="1"/>
  <c r="O50" i="1"/>
  <c r="Q50" i="1" s="1"/>
  <c r="O42" i="1"/>
  <c r="Q42" i="1" s="1"/>
  <c r="O34" i="1"/>
  <c r="Q34" i="1" s="1"/>
  <c r="O26" i="1"/>
  <c r="Q26" i="1" s="1"/>
  <c r="O18" i="1"/>
  <c r="Q18" i="1" s="1"/>
  <c r="O10" i="1"/>
  <c r="Q10" i="1" s="1"/>
  <c r="P2" i="1"/>
  <c r="Q2" i="1" s="1"/>
  <c r="P94" i="1"/>
  <c r="Q94" i="1" s="1"/>
  <c r="P86" i="1"/>
  <c r="Q86" i="1" s="1"/>
  <c r="P78" i="1"/>
  <c r="Q78" i="1" s="1"/>
  <c r="P70" i="1"/>
  <c r="Q70" i="1" s="1"/>
  <c r="P62" i="1"/>
  <c r="Q62" i="1" s="1"/>
  <c r="P54" i="1"/>
  <c r="Q54" i="1" s="1"/>
  <c r="P46" i="1"/>
  <c r="Q46" i="1" s="1"/>
  <c r="P38" i="1"/>
  <c r="Q38" i="1" s="1"/>
  <c r="P30" i="1"/>
  <c r="Q30" i="1" s="1"/>
  <c r="P22" i="1"/>
  <c r="Q22" i="1" s="1"/>
  <c r="P14" i="1"/>
  <c r="Q14" i="1" s="1"/>
  <c r="P6" i="1"/>
  <c r="Q6" i="1" s="1"/>
  <c r="O97" i="1"/>
  <c r="Q97" i="1" s="1"/>
  <c r="O89" i="1"/>
  <c r="Q89" i="1" s="1"/>
  <c r="O81" i="1"/>
  <c r="Q81" i="1" s="1"/>
  <c r="O73" i="1"/>
  <c r="Q73" i="1" s="1"/>
  <c r="O65" i="1"/>
  <c r="Q65" i="1" s="1"/>
  <c r="O57" i="1"/>
  <c r="Q57" i="1" s="1"/>
  <c r="O49" i="1"/>
  <c r="Q49" i="1" s="1"/>
  <c r="O41" i="1"/>
  <c r="Q41" i="1" s="1"/>
  <c r="O33" i="1"/>
  <c r="Q33" i="1" s="1"/>
  <c r="O25" i="1"/>
  <c r="Q25" i="1" s="1"/>
  <c r="O17" i="1"/>
  <c r="Q17" i="1" s="1"/>
  <c r="O9" i="1"/>
  <c r="Q9" i="1" s="1"/>
  <c r="P101" i="1"/>
  <c r="Q101" i="1" s="1"/>
  <c r="P93" i="1"/>
  <c r="Q93" i="1" s="1"/>
  <c r="P85" i="1"/>
  <c r="Q85" i="1" s="1"/>
  <c r="P77" i="1"/>
  <c r="Q77" i="1" s="1"/>
  <c r="P69" i="1"/>
  <c r="Q69" i="1" s="1"/>
  <c r="P61" i="1"/>
  <c r="Q61" i="1" s="1"/>
  <c r="P53" i="1"/>
  <c r="Q53" i="1" s="1"/>
  <c r="P45" i="1"/>
  <c r="Q45" i="1" s="1"/>
  <c r="P37" i="1"/>
  <c r="Q37" i="1" s="1"/>
  <c r="P29" i="1"/>
  <c r="Q29" i="1" s="1"/>
  <c r="P21" i="1"/>
  <c r="Q21" i="1" s="1"/>
  <c r="P13" i="1"/>
  <c r="Q13" i="1" s="1"/>
  <c r="P5" i="1"/>
  <c r="Q5" i="1" s="1"/>
  <c r="O96" i="1"/>
  <c r="Q96" i="1" s="1"/>
  <c r="O88" i="1"/>
  <c r="Q88" i="1" s="1"/>
  <c r="O80" i="1"/>
  <c r="Q80" i="1" s="1"/>
  <c r="O72" i="1"/>
  <c r="Q72" i="1" s="1"/>
  <c r="O64" i="1"/>
  <c r="Q64" i="1" s="1"/>
  <c r="O56" i="1"/>
  <c r="Q56" i="1" s="1"/>
  <c r="O48" i="1"/>
  <c r="Q48" i="1" s="1"/>
  <c r="O40" i="1"/>
  <c r="Q40" i="1" s="1"/>
  <c r="O32" i="1"/>
  <c r="Q32" i="1" s="1"/>
  <c r="O24" i="1"/>
  <c r="Q24" i="1" s="1"/>
  <c r="O16" i="1"/>
  <c r="Q16" i="1" s="1"/>
  <c r="O8" i="1"/>
  <c r="Q8" i="1" s="1"/>
  <c r="P100" i="1"/>
  <c r="Q100" i="1" s="1"/>
  <c r="P92" i="1"/>
  <c r="Q92" i="1" s="1"/>
  <c r="P84" i="1"/>
  <c r="Q84" i="1" s="1"/>
  <c r="P76" i="1"/>
  <c r="Q76" i="1" s="1"/>
  <c r="P68" i="1"/>
  <c r="Q68" i="1" s="1"/>
  <c r="P60" i="1"/>
  <c r="Q60" i="1" s="1"/>
  <c r="P52" i="1"/>
  <c r="Q52" i="1" s="1"/>
  <c r="P44" i="1"/>
  <c r="Q44" i="1" s="1"/>
  <c r="P36" i="1"/>
  <c r="Q36" i="1" s="1"/>
  <c r="P28" i="1"/>
  <c r="Q28" i="1" s="1"/>
  <c r="P20" i="1"/>
  <c r="Q20" i="1" s="1"/>
  <c r="P12" i="1"/>
  <c r="Q12" i="1" s="1"/>
  <c r="P4" i="1"/>
  <c r="Q4" i="1" s="1"/>
  <c r="O95" i="1"/>
  <c r="Q95" i="1" s="1"/>
  <c r="O87" i="1"/>
  <c r="Q87" i="1" s="1"/>
  <c r="O79" i="1"/>
  <c r="Q79" i="1" s="1"/>
  <c r="O71" i="1"/>
  <c r="Q71" i="1" s="1"/>
  <c r="O63" i="1"/>
  <c r="Q63" i="1" s="1"/>
  <c r="O55" i="1"/>
  <c r="Q55" i="1" s="1"/>
  <c r="O47" i="1"/>
  <c r="Q47" i="1" s="1"/>
  <c r="O39" i="1"/>
  <c r="Q39" i="1" s="1"/>
  <c r="O31" i="1"/>
  <c r="Q31" i="1" s="1"/>
  <c r="O23" i="1"/>
  <c r="Q23" i="1" s="1"/>
  <c r="O15" i="1"/>
  <c r="Q15" i="1" s="1"/>
  <c r="O7" i="1"/>
  <c r="Q7" i="1" s="1"/>
  <c r="P99" i="1"/>
  <c r="Q99" i="1" s="1"/>
  <c r="P91" i="1"/>
  <c r="Q91" i="1" s="1"/>
  <c r="P83" i="1"/>
  <c r="Q83" i="1" s="1"/>
  <c r="P75" i="1"/>
  <c r="Q75" i="1" s="1"/>
  <c r="P67" i="1"/>
  <c r="Q67" i="1" s="1"/>
  <c r="P59" i="1"/>
  <c r="Q59" i="1" s="1"/>
  <c r="P51" i="1"/>
  <c r="Q51" i="1" s="1"/>
  <c r="P43" i="1"/>
  <c r="Q43" i="1" s="1"/>
  <c r="P35" i="1"/>
  <c r="Q35" i="1" s="1"/>
  <c r="P27" i="1"/>
  <c r="Q27" i="1" s="1"/>
  <c r="P19" i="1"/>
  <c r="Q19" i="1" s="1"/>
  <c r="P11" i="1"/>
  <c r="Q11" i="1" s="1"/>
  <c r="P3" i="1"/>
  <c r="Q3" i="1" s="1"/>
  <c r="T28" i="1" l="1"/>
  <c r="S28" i="1"/>
  <c r="T43" i="1"/>
  <c r="S43" i="1"/>
  <c r="T94" i="1"/>
  <c r="S94" i="1"/>
  <c r="T59" i="1"/>
  <c r="S59" i="1"/>
  <c r="T52" i="1"/>
  <c r="S52" i="1"/>
  <c r="T45" i="1"/>
  <c r="S45" i="1"/>
  <c r="T38" i="1"/>
  <c r="S38" i="1"/>
  <c r="S2" i="1"/>
  <c r="T2" i="1"/>
  <c r="T14" i="1"/>
  <c r="S14" i="1"/>
  <c r="T36" i="1"/>
  <c r="S36" i="1"/>
  <c r="T44" i="1"/>
  <c r="S44" i="1"/>
  <c r="T30" i="1"/>
  <c r="S30" i="1"/>
  <c r="T46" i="1"/>
  <c r="S46" i="1"/>
  <c r="T11" i="1"/>
  <c r="S11" i="1"/>
  <c r="T75" i="1"/>
  <c r="S75" i="1"/>
  <c r="T4" i="1"/>
  <c r="S4" i="1"/>
  <c r="T68" i="1"/>
  <c r="S68" i="1"/>
  <c r="T61" i="1"/>
  <c r="S61" i="1"/>
  <c r="T54" i="1"/>
  <c r="S54" i="1"/>
  <c r="T78" i="1"/>
  <c r="S78" i="1"/>
  <c r="T22" i="1"/>
  <c r="S22" i="1"/>
  <c r="T51" i="1"/>
  <c r="S51" i="1"/>
  <c r="T3" i="1"/>
  <c r="S3" i="1"/>
  <c r="T60" i="1"/>
  <c r="S60" i="1"/>
  <c r="T83" i="1"/>
  <c r="S83" i="1"/>
  <c r="T12" i="1"/>
  <c r="S12" i="1"/>
  <c r="T76" i="1"/>
  <c r="S76" i="1"/>
  <c r="T5" i="1"/>
  <c r="S5" i="1"/>
  <c r="T69" i="1"/>
  <c r="S69" i="1"/>
  <c r="T62" i="1"/>
  <c r="S62" i="1"/>
  <c r="T92" i="1"/>
  <c r="S92" i="1"/>
  <c r="T100" i="1"/>
  <c r="S100" i="1"/>
  <c r="T86" i="1"/>
  <c r="S86" i="1"/>
  <c r="T67" i="1"/>
  <c r="S67" i="1"/>
  <c r="T53" i="1"/>
  <c r="S53" i="1"/>
  <c r="T19" i="1"/>
  <c r="S19" i="1"/>
  <c r="T27" i="1"/>
  <c r="S27" i="1"/>
  <c r="T91" i="1"/>
  <c r="S91" i="1"/>
  <c r="T20" i="1"/>
  <c r="S20" i="1"/>
  <c r="T84" i="1"/>
  <c r="S84" i="1"/>
  <c r="T13" i="1"/>
  <c r="S13" i="1"/>
  <c r="T77" i="1"/>
  <c r="S77" i="1"/>
  <c r="S6" i="1"/>
  <c r="T6" i="1"/>
  <c r="T70" i="1"/>
  <c r="S70" i="1"/>
  <c r="T18" i="1"/>
  <c r="S18" i="1"/>
  <c r="T82" i="1"/>
  <c r="S82" i="1"/>
  <c r="T29" i="1"/>
  <c r="S29" i="1"/>
  <c r="T93" i="1"/>
  <c r="S93" i="1"/>
  <c r="T47" i="1"/>
  <c r="S47" i="1"/>
  <c r="T33" i="1"/>
  <c r="S33" i="1"/>
  <c r="T26" i="1"/>
  <c r="S26" i="1"/>
  <c r="T90" i="1"/>
  <c r="S90" i="1"/>
  <c r="T37" i="1"/>
  <c r="S37" i="1"/>
  <c r="T101" i="1"/>
  <c r="S101" i="1"/>
  <c r="T31" i="1"/>
  <c r="S31" i="1"/>
  <c r="T99" i="1"/>
  <c r="S99" i="1"/>
  <c r="T96" i="1"/>
  <c r="S96" i="1"/>
  <c r="T40" i="1"/>
  <c r="S40" i="1"/>
  <c r="T97" i="1"/>
  <c r="S97" i="1"/>
  <c r="T55" i="1"/>
  <c r="S55" i="1"/>
  <c r="T48" i="1"/>
  <c r="S48" i="1"/>
  <c r="T41" i="1"/>
  <c r="S41" i="1"/>
  <c r="T34" i="1"/>
  <c r="S34" i="1"/>
  <c r="T98" i="1"/>
  <c r="S98" i="1"/>
  <c r="T17" i="1"/>
  <c r="S17" i="1"/>
  <c r="T42" i="1"/>
  <c r="S42" i="1"/>
  <c r="T24" i="1"/>
  <c r="S24" i="1"/>
  <c r="T10" i="1"/>
  <c r="S10" i="1"/>
  <c r="T85" i="1"/>
  <c r="S85" i="1"/>
  <c r="T25" i="1"/>
  <c r="S25" i="1"/>
  <c r="T56" i="1"/>
  <c r="S56" i="1"/>
  <c r="S7" i="1"/>
  <c r="T7" i="1"/>
  <c r="T71" i="1"/>
  <c r="S71" i="1"/>
  <c r="T64" i="1"/>
  <c r="S64" i="1"/>
  <c r="T57" i="1"/>
  <c r="S57" i="1"/>
  <c r="T50" i="1"/>
  <c r="S50" i="1"/>
  <c r="T88" i="1"/>
  <c r="S88" i="1"/>
  <c r="T81" i="1"/>
  <c r="S81" i="1"/>
  <c r="T35" i="1"/>
  <c r="S35" i="1"/>
  <c r="T39" i="1"/>
  <c r="S39" i="1"/>
  <c r="T32" i="1"/>
  <c r="S32" i="1"/>
  <c r="T63" i="1"/>
  <c r="S63" i="1"/>
  <c r="T49" i="1"/>
  <c r="S49" i="1"/>
  <c r="T15" i="1"/>
  <c r="S15" i="1"/>
  <c r="T79" i="1"/>
  <c r="S79" i="1"/>
  <c r="S8" i="1"/>
  <c r="T8" i="1"/>
  <c r="T72" i="1"/>
  <c r="S72" i="1"/>
  <c r="T65" i="1"/>
  <c r="S65" i="1"/>
  <c r="T58" i="1"/>
  <c r="S58" i="1"/>
  <c r="T95" i="1"/>
  <c r="S95" i="1"/>
  <c r="T74" i="1"/>
  <c r="S74" i="1"/>
  <c r="T21" i="1"/>
  <c r="S21" i="1"/>
  <c r="T89" i="1"/>
  <c r="S89" i="1"/>
  <c r="T23" i="1"/>
  <c r="S23" i="1"/>
  <c r="T87" i="1"/>
  <c r="S87" i="1"/>
  <c r="T16" i="1"/>
  <c r="S16" i="1"/>
  <c r="T80" i="1"/>
  <c r="S80" i="1"/>
  <c r="T9" i="1"/>
  <c r="S9" i="1"/>
  <c r="T73" i="1"/>
  <c r="S73" i="1"/>
  <c r="T66" i="1"/>
  <c r="S6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<sst xmlns="http://schemas.openxmlformats.org/spreadsheetml/2006/main" count="820" uniqueCount="395">
  <si>
    <t>Roll No</t>
  </si>
  <si>
    <t>Student Last Name</t>
  </si>
  <si>
    <t>Father Name</t>
  </si>
  <si>
    <t>Email</t>
  </si>
  <si>
    <t>Phone</t>
  </si>
  <si>
    <t>City</t>
  </si>
  <si>
    <t>Class</t>
  </si>
  <si>
    <t>Section</t>
  </si>
  <si>
    <t>STU001</t>
  </si>
  <si>
    <t>Ahmed</t>
  </si>
  <si>
    <t>Abdul Ahmed</t>
  </si>
  <si>
    <t>ahmed.ahmed1@school.edu</t>
  </si>
  <si>
    <t>03183270928</t>
  </si>
  <si>
    <t>Multan</t>
  </si>
  <si>
    <t>B</t>
  </si>
  <si>
    <t>STU002</t>
  </si>
  <si>
    <t>Maryam</t>
  </si>
  <si>
    <t>maryam.ahmed2@school.edu</t>
  </si>
  <si>
    <t>03303014693</t>
  </si>
  <si>
    <t>Faisalabad</t>
  </si>
  <si>
    <t>STU003</t>
  </si>
  <si>
    <t>Iqbal</t>
  </si>
  <si>
    <t>Imran Iqbal</t>
  </si>
  <si>
    <t>ahmed.iqbal3@school.edu</t>
  </si>
  <si>
    <t>03065176415</t>
  </si>
  <si>
    <t>A</t>
  </si>
  <si>
    <t>STU004</t>
  </si>
  <si>
    <t>Noor</t>
  </si>
  <si>
    <t>Siddiqui</t>
  </si>
  <si>
    <t>Muhammad Siddiqui</t>
  </si>
  <si>
    <t>noor.siddiqui4@school.edu</t>
  </si>
  <si>
    <t>03366968282</t>
  </si>
  <si>
    <t>Lahore</t>
  </si>
  <si>
    <t>STU005</t>
  </si>
  <si>
    <t>Abdullah</t>
  </si>
  <si>
    <t>Butt</t>
  </si>
  <si>
    <t>Imran Butt</t>
  </si>
  <si>
    <t>abdullah.butt5@school.edu</t>
  </si>
  <si>
    <t>03075009485</t>
  </si>
  <si>
    <t>Islamabad</t>
  </si>
  <si>
    <t>STU006</t>
  </si>
  <si>
    <t>Zain</t>
  </si>
  <si>
    <t>Sheikh</t>
  </si>
  <si>
    <t>Naveed Sheikh</t>
  </si>
  <si>
    <t>zain.sheikh6@school.edu</t>
  </si>
  <si>
    <t>03234208024</t>
  </si>
  <si>
    <t>STU007</t>
  </si>
  <si>
    <t>Bilal</t>
  </si>
  <si>
    <t>Muhammad Sheikh</t>
  </si>
  <si>
    <t>bilal.sheikh7@school.edu</t>
  </si>
  <si>
    <t>03149983339</t>
  </si>
  <si>
    <t>STU008</t>
  </si>
  <si>
    <t>Usman</t>
  </si>
  <si>
    <t>Chaudhry</t>
  </si>
  <si>
    <t>Abdul Chaudhry</t>
  </si>
  <si>
    <t>usman.chaudhry8@school.edu</t>
  </si>
  <si>
    <t>03477421656</t>
  </si>
  <si>
    <t>STU009</t>
  </si>
  <si>
    <t>Hira</t>
  </si>
  <si>
    <t>Abdul Siddiqui</t>
  </si>
  <si>
    <t>hira.siddiqui9@school.edu</t>
  </si>
  <si>
    <t>03189172534</t>
  </si>
  <si>
    <t>Karachi</t>
  </si>
  <si>
    <t>STU010</t>
  </si>
  <si>
    <t>Naveed Butt</t>
  </si>
  <si>
    <t>bilal.butt10@school.edu</t>
  </si>
  <si>
    <t>03249793014</t>
  </si>
  <si>
    <t>STU011</t>
  </si>
  <si>
    <t>Sara</t>
  </si>
  <si>
    <t>Khan</t>
  </si>
  <si>
    <t>Muhammad Khan</t>
  </si>
  <si>
    <t>sara.khan11@school.edu</t>
  </si>
  <si>
    <t>03262674597</t>
  </si>
  <si>
    <t>STU012</t>
  </si>
  <si>
    <t>Fatima</t>
  </si>
  <si>
    <t>Abdul Butt</t>
  </si>
  <si>
    <t>fatima.butt12@school.edu</t>
  </si>
  <si>
    <t>03424130435</t>
  </si>
  <si>
    <t>STU013</t>
  </si>
  <si>
    <t>Imran Chaudhry</t>
  </si>
  <si>
    <t>usman.chaudhry13@school.edu</t>
  </si>
  <si>
    <t>03318892434</t>
  </si>
  <si>
    <t>STU014</t>
  </si>
  <si>
    <t>Naveed Chaudhry</t>
  </si>
  <si>
    <t>noor.chaudhry14@school.edu</t>
  </si>
  <si>
    <t>03457975394</t>
  </si>
  <si>
    <t>STU015</t>
  </si>
  <si>
    <t>Raza</t>
  </si>
  <si>
    <t>Imran Raza</t>
  </si>
  <si>
    <t>ahmed.raza15@school.edu</t>
  </si>
  <si>
    <t>03476245950</t>
  </si>
  <si>
    <t>STU016</t>
  </si>
  <si>
    <t>usman.sheikh16@school.edu</t>
  </si>
  <si>
    <t>03469289639</t>
  </si>
  <si>
    <t>STU017</t>
  </si>
  <si>
    <t>zain.butt17@school.edu</t>
  </si>
  <si>
    <t>03211548794</t>
  </si>
  <si>
    <t>STU018</t>
  </si>
  <si>
    <t>Tariq Butt</t>
  </si>
  <si>
    <t>usman.butt18@school.edu</t>
  </si>
  <si>
    <t>03195871108</t>
  </si>
  <si>
    <t>STU019</t>
  </si>
  <si>
    <t>Imran Ahmed</t>
  </si>
  <si>
    <t>usman.ahmed19@school.edu</t>
  </si>
  <si>
    <t>03441603181</t>
  </si>
  <si>
    <t>STU020</t>
  </si>
  <si>
    <t>Tariq Chaudhry</t>
  </si>
  <si>
    <t>ahmed.chaudhry20@school.edu</t>
  </si>
  <si>
    <t>03342247639</t>
  </si>
  <si>
    <t>STU021</t>
  </si>
  <si>
    <t>Naveed Khan</t>
  </si>
  <si>
    <t>abdullah.khan21@school.edu</t>
  </si>
  <si>
    <t>03166924845</t>
  </si>
  <si>
    <t>STU022</t>
  </si>
  <si>
    <t>Ayesha</t>
  </si>
  <si>
    <t>Malik</t>
  </si>
  <si>
    <t>Muhammad Malik</t>
  </si>
  <si>
    <t>ayesha.malik22@school.edu</t>
  </si>
  <si>
    <t>03204720572</t>
  </si>
  <si>
    <t>STU023</t>
  </si>
  <si>
    <t>noor.chaudhry23@school.edu</t>
  </si>
  <si>
    <t>03477731361</t>
  </si>
  <si>
    <t>STU024</t>
  </si>
  <si>
    <t>Tariq Ahmed</t>
  </si>
  <si>
    <t>bilal.ahmed24@school.edu</t>
  </si>
  <si>
    <t>03119489643</t>
  </si>
  <si>
    <t>STU025</t>
  </si>
  <si>
    <t>Naveed Iqbal</t>
  </si>
  <si>
    <t>bilal.iqbal25@school.edu</t>
  </si>
  <si>
    <t>03418852131</t>
  </si>
  <si>
    <t>STU026</t>
  </si>
  <si>
    <t>Tariq Malik</t>
  </si>
  <si>
    <t>maryam.malik26@school.edu</t>
  </si>
  <si>
    <t>03036999269</t>
  </si>
  <si>
    <t>STU027</t>
  </si>
  <si>
    <t>Hassan</t>
  </si>
  <si>
    <t>Abdul Khan</t>
  </si>
  <si>
    <t>hassan.khan27@school.edu</t>
  </si>
  <si>
    <t>03302825631</t>
  </si>
  <si>
    <t>STU028</t>
  </si>
  <si>
    <t>zain.malik28@school.edu</t>
  </si>
  <si>
    <t>03441606483</t>
  </si>
  <si>
    <t>STU029</t>
  </si>
  <si>
    <t>Farooq</t>
  </si>
  <si>
    <t>Abdul Farooq</t>
  </si>
  <si>
    <t>usman.farooq29@school.edu</t>
  </si>
  <si>
    <t>03175223744</t>
  </si>
  <si>
    <t>STU030</t>
  </si>
  <si>
    <t>Ali</t>
  </si>
  <si>
    <t>Muhammad Chaudhry</t>
  </si>
  <si>
    <t>ali.chaudhry30@school.edu</t>
  </si>
  <si>
    <t>03044920807</t>
  </si>
  <si>
    <t>STU031</t>
  </si>
  <si>
    <t>hassan.ahmed31@school.edu</t>
  </si>
  <si>
    <t>03323671573</t>
  </si>
  <si>
    <t>STU032</t>
  </si>
  <si>
    <t>fatima.farooq32@school.edu</t>
  </si>
  <si>
    <t>03429450150</t>
  </si>
  <si>
    <t>STU033</t>
  </si>
  <si>
    <t>Muhammad Raza</t>
  </si>
  <si>
    <t>zain.raza33@school.edu</t>
  </si>
  <si>
    <t>03161565416</t>
  </si>
  <si>
    <t>STU034</t>
  </si>
  <si>
    <t>ali.raza34@school.edu</t>
  </si>
  <si>
    <t>03445279291</t>
  </si>
  <si>
    <t>STU035</t>
  </si>
  <si>
    <t>ali.raza35@school.edu</t>
  </si>
  <si>
    <t>03483976196</t>
  </si>
  <si>
    <t>STU036</t>
  </si>
  <si>
    <t>hira.ahmed36@school.edu</t>
  </si>
  <si>
    <t>03272368074</t>
  </si>
  <si>
    <t>STU037</t>
  </si>
  <si>
    <t>Imran Malik</t>
  </si>
  <si>
    <t>bilal.malik37@school.edu</t>
  </si>
  <si>
    <t>03435999284</t>
  </si>
  <si>
    <t>STU038</t>
  </si>
  <si>
    <t>Muhammad Iqbal</t>
  </si>
  <si>
    <t>bilal.iqbal38@school.edu</t>
  </si>
  <si>
    <t>03492441253</t>
  </si>
  <si>
    <t>STU039</t>
  </si>
  <si>
    <t>fatima.sheikh39@school.edu</t>
  </si>
  <si>
    <t>03125000005</t>
  </si>
  <si>
    <t>STU040</t>
  </si>
  <si>
    <t>hira.iqbal40@school.edu</t>
  </si>
  <si>
    <t>03207732866</t>
  </si>
  <si>
    <t>STU041</t>
  </si>
  <si>
    <t>Imran Farooq</t>
  </si>
  <si>
    <t>sara.farooq41@school.edu</t>
  </si>
  <si>
    <t>03461703198</t>
  </si>
  <si>
    <t>STU042</t>
  </si>
  <si>
    <t>Naveed Siddiqui</t>
  </si>
  <si>
    <t>usman.siddiqui42@school.edu</t>
  </si>
  <si>
    <t>03228309792</t>
  </si>
  <si>
    <t>STU043</t>
  </si>
  <si>
    <t>hira.chaudhry43@school.edu</t>
  </si>
  <si>
    <t>03473397318</t>
  </si>
  <si>
    <t>STU044</t>
  </si>
  <si>
    <t>maryam.chaudhry44@school.edu</t>
  </si>
  <si>
    <t>03409643897</t>
  </si>
  <si>
    <t>STU045</t>
  </si>
  <si>
    <t>Abdul Iqbal</t>
  </si>
  <si>
    <t>fatima.iqbal45@school.edu</t>
  </si>
  <si>
    <t>03186168677</t>
  </si>
  <si>
    <t>STU046</t>
  </si>
  <si>
    <t>Naveed Raza</t>
  </si>
  <si>
    <t>usman.raza46@school.edu</t>
  </si>
  <si>
    <t>03237416882</t>
  </si>
  <si>
    <t>STU047</t>
  </si>
  <si>
    <t>hira.chaudhry47@school.edu</t>
  </si>
  <si>
    <t>03066201360</t>
  </si>
  <si>
    <t>STU048</t>
  </si>
  <si>
    <t>maryam.siddiqui48@school.edu</t>
  </si>
  <si>
    <t>03243838051</t>
  </si>
  <si>
    <t>STU049</t>
  </si>
  <si>
    <t>hassan.sheikh49@school.edu</t>
  </si>
  <si>
    <t>03488564818</t>
  </si>
  <si>
    <t>STU050</t>
  </si>
  <si>
    <t>bilal.malik50@school.edu</t>
  </si>
  <si>
    <t>03146169076</t>
  </si>
  <si>
    <t>STU051</t>
  </si>
  <si>
    <t>usman.farooq51@school.edu</t>
  </si>
  <si>
    <t>03327056623</t>
  </si>
  <si>
    <t>STU052</t>
  </si>
  <si>
    <t>noor.siddiqui52@school.edu</t>
  </si>
  <si>
    <t>03349260703</t>
  </si>
  <si>
    <t>STU053</t>
  </si>
  <si>
    <t>Naveed Farooq</t>
  </si>
  <si>
    <t>bilal.farooq53@school.edu</t>
  </si>
  <si>
    <t>03313040780</t>
  </si>
  <si>
    <t>STU054</t>
  </si>
  <si>
    <t>ayesha.khan54@school.edu</t>
  </si>
  <si>
    <t>03432595072</t>
  </si>
  <si>
    <t>STU055</t>
  </si>
  <si>
    <t>Zoya</t>
  </si>
  <si>
    <t>zoya.khan55@school.edu</t>
  </si>
  <si>
    <t>03009644203</t>
  </si>
  <si>
    <t>STU056</t>
  </si>
  <si>
    <t>bilal.farooq56@school.edu</t>
  </si>
  <si>
    <t>03389203371</t>
  </si>
  <si>
    <t>STU057</t>
  </si>
  <si>
    <t>Tariq Raza</t>
  </si>
  <si>
    <t>abdullah.raza57@school.edu</t>
  </si>
  <si>
    <t>03021377304</t>
  </si>
  <si>
    <t>STU058</t>
  </si>
  <si>
    <t>Abdul Raza</t>
  </si>
  <si>
    <t>usman.raza58@school.edu</t>
  </si>
  <si>
    <t>03084478959</t>
  </si>
  <si>
    <t>STU059</t>
  </si>
  <si>
    <t>Tariq Sheikh</t>
  </si>
  <si>
    <t>ahmed.sheikh59@school.edu</t>
  </si>
  <si>
    <t>03357840738</t>
  </si>
  <si>
    <t>STU060</t>
  </si>
  <si>
    <t>maryam.siddiqui60@school.edu</t>
  </si>
  <si>
    <t>03118806946</t>
  </si>
  <si>
    <t>STU061</t>
  </si>
  <si>
    <t>Tariq Iqbal</t>
  </si>
  <si>
    <t>zoya.iqbal61@school.edu</t>
  </si>
  <si>
    <t>03473584665</t>
  </si>
  <si>
    <t>STU062</t>
  </si>
  <si>
    <t>abdullah.sheikh62@school.edu</t>
  </si>
  <si>
    <t>03474322714</t>
  </si>
  <si>
    <t>STU063</t>
  </si>
  <si>
    <t>usman.khan63@school.edu</t>
  </si>
  <si>
    <t>03328758273</t>
  </si>
  <si>
    <t>STU064</t>
  </si>
  <si>
    <t>Hamza</t>
  </si>
  <si>
    <t>hamza.chaudhry64@school.edu</t>
  </si>
  <si>
    <t>03073172731</t>
  </si>
  <si>
    <t>STU065</t>
  </si>
  <si>
    <t>ayesha.butt65@school.edu</t>
  </si>
  <si>
    <t>03125948258</t>
  </si>
  <si>
    <t>STU066</t>
  </si>
  <si>
    <t>ayesha.chaudhry66@school.edu</t>
  </si>
  <si>
    <t>03103284663</t>
  </si>
  <si>
    <t>STU067</t>
  </si>
  <si>
    <t>abdullah.chaudhry67@school.edu</t>
  </si>
  <si>
    <t>03303100266</t>
  </si>
  <si>
    <t>STU068</t>
  </si>
  <si>
    <t>abdullah.butt68@school.edu</t>
  </si>
  <si>
    <t>03363027073</t>
  </si>
  <si>
    <t>STU069</t>
  </si>
  <si>
    <t>bilal.siddiqui69@school.edu</t>
  </si>
  <si>
    <t>03348055711</t>
  </si>
  <si>
    <t>STU070</t>
  </si>
  <si>
    <t>usman.chaudhry70@school.edu</t>
  </si>
  <si>
    <t>03081786552</t>
  </si>
  <si>
    <t>STU071</t>
  </si>
  <si>
    <t>Tariq Siddiqui</t>
  </si>
  <si>
    <t>maryam.siddiqui71@school.edu</t>
  </si>
  <si>
    <t>03426272224</t>
  </si>
  <si>
    <t>STU072</t>
  </si>
  <si>
    <t>Naveed Malik</t>
  </si>
  <si>
    <t>abdullah.malik72@school.edu</t>
  </si>
  <si>
    <t>03274883347</t>
  </si>
  <si>
    <t>STU073</t>
  </si>
  <si>
    <t>fatima.malik73@school.edu</t>
  </si>
  <si>
    <t>03319702431</t>
  </si>
  <si>
    <t>STU074</t>
  </si>
  <si>
    <t>ali.chaudhry74@school.edu</t>
  </si>
  <si>
    <t>03467131808</t>
  </si>
  <si>
    <t>STU075</t>
  </si>
  <si>
    <t>zoya.raza75@school.edu</t>
  </si>
  <si>
    <t>03017994076</t>
  </si>
  <si>
    <t>STU076</t>
  </si>
  <si>
    <t>maryam.khan76@school.edu</t>
  </si>
  <si>
    <t>03243528374</t>
  </si>
  <si>
    <t>STU077</t>
  </si>
  <si>
    <t>zain.khan77@school.edu</t>
  </si>
  <si>
    <t>03378685233</t>
  </si>
  <si>
    <t>STU078</t>
  </si>
  <si>
    <t>Tariq Khan</t>
  </si>
  <si>
    <t>ahmed.khan78@school.edu</t>
  </si>
  <si>
    <t>03282098295</t>
  </si>
  <si>
    <t>STU079</t>
  </si>
  <si>
    <t>sara.siddiqui79@school.edu</t>
  </si>
  <si>
    <t>03016775112</t>
  </si>
  <si>
    <t>STU080</t>
  </si>
  <si>
    <t>hassan.raza80@school.edu</t>
  </si>
  <si>
    <t>03184337651</t>
  </si>
  <si>
    <t>STU081</t>
  </si>
  <si>
    <t>ahmed.ahmed81@school.edu</t>
  </si>
  <si>
    <t>03239819894</t>
  </si>
  <si>
    <t>STU082</t>
  </si>
  <si>
    <t>hassan.farooq82@school.edu</t>
  </si>
  <si>
    <t>03325173129</t>
  </si>
  <si>
    <t>STU083</t>
  </si>
  <si>
    <t>hamza.chaudhry83@school.edu</t>
  </si>
  <si>
    <t>03421523349</t>
  </si>
  <si>
    <t>STU084</t>
  </si>
  <si>
    <t>zain.chaudhry84@school.edu</t>
  </si>
  <si>
    <t>03002550057</t>
  </si>
  <si>
    <t>STU085</t>
  </si>
  <si>
    <t>Tariq Farooq</t>
  </si>
  <si>
    <t>sara.farooq85@school.edu</t>
  </si>
  <si>
    <t>03077734351</t>
  </si>
  <si>
    <t>STU086</t>
  </si>
  <si>
    <t>hamza.siddiqui86@school.edu</t>
  </si>
  <si>
    <t>03369318867</t>
  </si>
  <si>
    <t>STU087</t>
  </si>
  <si>
    <t>Imran Sheikh</t>
  </si>
  <si>
    <t>zoya.sheikh87@school.edu</t>
  </si>
  <si>
    <t>03003004025</t>
  </si>
  <si>
    <t>STU088</t>
  </si>
  <si>
    <t>ali.khan88@school.edu</t>
  </si>
  <si>
    <t>03061229221</t>
  </si>
  <si>
    <t>STU089</t>
  </si>
  <si>
    <t>bilal.ahmed89@school.edu</t>
  </si>
  <si>
    <t>03023754045</t>
  </si>
  <si>
    <t>STU090</t>
  </si>
  <si>
    <t>bilal.farooq90@school.edu</t>
  </si>
  <si>
    <t>03448258473</t>
  </si>
  <si>
    <t>STU091</t>
  </si>
  <si>
    <t>sara.malik91@school.edu</t>
  </si>
  <si>
    <t>03125912317</t>
  </si>
  <si>
    <t>STU092</t>
  </si>
  <si>
    <t>hamza.sheikh92@school.edu</t>
  </si>
  <si>
    <t>03242827477</t>
  </si>
  <si>
    <t>STU093</t>
  </si>
  <si>
    <t>Naveed Ahmed</t>
  </si>
  <si>
    <t>sara.ahmed93@school.edu</t>
  </si>
  <si>
    <t>03103696556</t>
  </si>
  <si>
    <t>STU094</t>
  </si>
  <si>
    <t>Muhammad Farooq</t>
  </si>
  <si>
    <t>ahmed.farooq94@school.edu</t>
  </si>
  <si>
    <t>03094087421</t>
  </si>
  <si>
    <t>STU095</t>
  </si>
  <si>
    <t>zoya.farooq95@school.edu</t>
  </si>
  <si>
    <t>03445978332</t>
  </si>
  <si>
    <t>STU096</t>
  </si>
  <si>
    <t>fatima.sheikh96@school.edu</t>
  </si>
  <si>
    <t>03151702390</t>
  </si>
  <si>
    <t>STU097</t>
  </si>
  <si>
    <t>ahmed.sheikh97@school.edu</t>
  </si>
  <si>
    <t>03488365827</t>
  </si>
  <si>
    <t>STU098</t>
  </si>
  <si>
    <t>usman.farooq98@school.edu</t>
  </si>
  <si>
    <t>03335930979</t>
  </si>
  <si>
    <t>STU099</t>
  </si>
  <si>
    <t>zain.farooq99@school.edu</t>
  </si>
  <si>
    <t>03455057602</t>
  </si>
  <si>
    <t>STU100</t>
  </si>
  <si>
    <t>usman.raza100@school.edu</t>
  </si>
  <si>
    <t>03155668086</t>
  </si>
  <si>
    <t>Studen First Name</t>
  </si>
  <si>
    <t>ahad</t>
  </si>
  <si>
    <t>Student Full Name</t>
  </si>
  <si>
    <t>Use of Concat</t>
  </si>
  <si>
    <t>Text Split Formula</t>
  </si>
  <si>
    <t>Text before</t>
  </si>
  <si>
    <t>Text After</t>
  </si>
  <si>
    <t>Ampersent</t>
  </si>
  <si>
    <t>Flashfill</t>
  </si>
  <si>
    <t xml:space="preserve">Find </t>
  </si>
  <si>
    <t>Search</t>
  </si>
  <si>
    <t>Subsitute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</si>
</sst>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9" fontId="2" fillId="2" borderId="0" xfId="1" applyFont="1" applyFill="1" applyAlignment="1">
      <alignment horizontal="center" vertical="center"/>
    </xf>
    <xf numFmtId="0" fontId="2" fillId="2" borderId="0" xfId="1" applyNumberFormat="1" applyFont="1" applyFill="1" applyAlignment="1">
      <alignment horizontal="center" vertical="center"/>
    </xf>
    <xf numFmtId="0" fontId="0" fillId="0" borderId="0" xfId="1" applyNumberFormat="1" applyFont="1"/>
    <xf numFmtId="0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="68" workbookViewId="0">
      <selection activeCell="V13" sqref="V13"/>
    </sheetView>
  </sheetViews>
  <sheetFormatPr defaultRowHeight="14.5" x14ac:dyDescent="0.35"/>
  <cols>
    <col min="1" max="1" width="7" bestFit="1" customWidth="1"/>
    <col min="2" max="2" width="16.7265625" customWidth="1"/>
    <col min="3" max="3" width="16.453125" bestFit="1" customWidth="1"/>
    <col min="4" max="4" width="16.54296875" bestFit="1" customWidth="1"/>
    <col min="5" max="5" width="16.54296875" customWidth="1"/>
    <col min="6" max="6" width="19.81640625" customWidth="1"/>
    <col min="7" max="7" width="29.81640625" bestFit="1" customWidth="1"/>
    <col min="8" max="10" width="29.81640625" customWidth="1"/>
    <col min="11" max="11" width="12.54296875" style="5" bestFit="1" customWidth="1"/>
    <col min="12" max="12" width="9.6328125" bestFit="1" customWidth="1"/>
    <col min="14" max="14" width="8.7265625" style="5"/>
    <col min="15" max="15" width="17" bestFit="1" customWidth="1"/>
    <col min="16" max="16" width="15.7265625" bestFit="1" customWidth="1"/>
    <col min="17" max="17" width="18.54296875" bestFit="1" customWidth="1"/>
    <col min="19" max="19" width="14.453125" bestFit="1" customWidth="1"/>
    <col min="23" max="23" width="10.90625" bestFit="1" customWidth="1"/>
  </cols>
  <sheetData>
    <row r="1" spans="1:23" x14ac:dyDescent="0.35">
      <c r="A1" s="2" t="s">
        <v>0</v>
      </c>
      <c r="B1" s="2" t="s">
        <v>383</v>
      </c>
      <c r="C1" s="2" t="s">
        <v>1</v>
      </c>
      <c r="D1" s="2" t="s">
        <v>385</v>
      </c>
      <c r="E1" s="2" t="s">
        <v>386</v>
      </c>
      <c r="F1" s="2" t="s">
        <v>2</v>
      </c>
      <c r="G1" s="2" t="s">
        <v>3</v>
      </c>
      <c r="H1" s="2" t="s">
        <v>394</v>
      </c>
      <c r="I1" s="2" t="s">
        <v>387</v>
      </c>
      <c r="J1" s="2" t="s">
        <v>387</v>
      </c>
      <c r="K1" s="3" t="s">
        <v>4</v>
      </c>
      <c r="L1" s="2" t="s">
        <v>5</v>
      </c>
      <c r="M1" s="2" t="s">
        <v>6</v>
      </c>
      <c r="N1" s="3" t="s">
        <v>7</v>
      </c>
      <c r="O1" s="2" t="s">
        <v>388</v>
      </c>
      <c r="P1" s="2" t="s">
        <v>389</v>
      </c>
      <c r="Q1" s="2" t="s">
        <v>390</v>
      </c>
      <c r="R1" s="2" t="s">
        <v>391</v>
      </c>
      <c r="S1" s="2" t="s">
        <v>392</v>
      </c>
      <c r="T1" s="2" t="s">
        <v>393</v>
      </c>
    </row>
    <row r="2" spans="1:23" x14ac:dyDescent="0.35">
      <c r="A2" s="1" t="s">
        <v>8</v>
      </c>
      <c r="B2" s="1" t="s">
        <v>9</v>
      </c>
      <c r="C2" s="1" t="s">
        <v>384</v>
      </c>
      <c r="D2" s="1" t="str">
        <f>_xlfn.TEXTJOIN(" ",TRUE,B2,C2)</f>
        <v>Ahmed ahad</v>
      </c>
      <c r="E2" s="1" t="str">
        <f>_xlfn.CONCAT(B2,C2)</f>
        <v>Ahmedahad</v>
      </c>
      <c r="F2" s="1" t="s">
        <v>10</v>
      </c>
      <c r="G2" s="1" t="s">
        <v>11</v>
      </c>
      <c r="H2" s="1" t="str">
        <f>SUBSTITUTE(G2,"edu","edu")</f>
        <v>ahmed.ahmed1@school.edu</v>
      </c>
      <c r="I2" s="1" t="str" cm="1">
        <f t="array" ref="I2:J2">_xlfn.TEXTSPLIT(G2,"@")</f>
        <v>ahmed.ahmed1</v>
      </c>
      <c r="J2" s="1" t="str">
        <v>school.edu</v>
      </c>
      <c r="K2" s="4" t="s">
        <v>12</v>
      </c>
      <c r="L2" s="1" t="s">
        <v>13</v>
      </c>
      <c r="M2">
        <v>11</v>
      </c>
      <c r="N2" s="4" t="s">
        <v>25</v>
      </c>
      <c r="O2" t="str">
        <f>_xlfn.TEXTBEFORE(I2,".")</f>
        <v>ahmed</v>
      </c>
      <c r="P2" t="str">
        <f>_xlfn.TEXTAFTER(I2,".")</f>
        <v>ahmed1</v>
      </c>
      <c r="Q2" t="str">
        <f>O2&amp;" "&amp;P2</f>
        <v>ahmed ahmed1</v>
      </c>
      <c r="R2">
        <v>1</v>
      </c>
      <c r="S2">
        <f>FIND("a",Q2)</f>
        <v>1</v>
      </c>
      <c r="T2">
        <f>SEARCH("A",Q2)</f>
        <v>1</v>
      </c>
    </row>
    <row r="3" spans="1:23" x14ac:dyDescent="0.35">
      <c r="A3" s="1" t="s">
        <v>15</v>
      </c>
      <c r="B3" s="1" t="s">
        <v>16</v>
      </c>
      <c r="C3" s="1" t="s">
        <v>9</v>
      </c>
      <c r="D3" s="1" t="str">
        <f t="shared" ref="D3:D66" si="0">_xlfn.TEXTJOIN(" ",TRUE,B3,C3)</f>
        <v>Maryam Ahmed</v>
      </c>
      <c r="E3" s="1" t="str">
        <f t="shared" ref="E3:E66" si="1">_xlfn.CONCAT(B3,C3)</f>
        <v>MaryamAhmed</v>
      </c>
      <c r="F3" s="1" t="s">
        <v>10</v>
      </c>
      <c r="G3" s="1" t="s">
        <v>17</v>
      </c>
      <c r="H3" s="1" t="str">
        <f>SUBSTITUTE(G3,"edu","edu")</f>
        <v>maryam.ahmed2@school.edu</v>
      </c>
      <c r="I3" s="1" t="str" cm="1">
        <f t="array" ref="I3:J3">_xlfn.TEXTSPLIT(G3,"@")</f>
        <v>maryam.ahmed2</v>
      </c>
      <c r="J3" s="1" t="str">
        <v>school.edu</v>
      </c>
      <c r="K3" s="4" t="s">
        <v>18</v>
      </c>
      <c r="L3" s="1" t="s">
        <v>19</v>
      </c>
      <c r="M3">
        <v>9</v>
      </c>
      <c r="N3" s="4" t="s">
        <v>14</v>
      </c>
      <c r="O3" t="str">
        <f t="shared" ref="O3:O66" si="2">_xlfn.TEXTBEFORE(I3,".")</f>
        <v>maryam</v>
      </c>
      <c r="P3" t="str">
        <f t="shared" ref="P3:P66" si="3">_xlfn.TEXTAFTER(I3,".")</f>
        <v>ahmed2</v>
      </c>
      <c r="Q3" t="str">
        <f t="shared" ref="Q3:Q66" si="4">O3&amp;" "&amp;P3</f>
        <v>maryam ahmed2</v>
      </c>
      <c r="R3">
        <v>2</v>
      </c>
      <c r="S3">
        <f t="shared" ref="S3:S66" si="5">FIND("a",Q3)</f>
        <v>2</v>
      </c>
      <c r="T3">
        <f t="shared" ref="T3:T66" si="6">SEARCH("A",Q3)</f>
        <v>2</v>
      </c>
    </row>
    <row r="4" spans="1:23" x14ac:dyDescent="0.35">
      <c r="A4" s="1" t="s">
        <v>20</v>
      </c>
      <c r="B4" s="1" t="s">
        <v>9</v>
      </c>
      <c r="C4" s="1" t="s">
        <v>21</v>
      </c>
      <c r="D4" s="1" t="str">
        <f t="shared" si="0"/>
        <v>Ahmed Iqbal</v>
      </c>
      <c r="E4" s="1" t="str">
        <f t="shared" si="1"/>
        <v>AhmedIqbal</v>
      </c>
      <c r="F4" s="1" t="s">
        <v>22</v>
      </c>
      <c r="G4" s="4" t="s">
        <v>23</v>
      </c>
      <c r="H4" s="1" t="str">
        <f>SUBSTITUTE(G4,"edu","edu")</f>
        <v>ahmed.iqbal3@school.edu</v>
      </c>
      <c r="I4" s="1" t="str" cm="1">
        <f t="array" ref="I4:J4">_xlfn.TEXTSPLIT(G4,"@")</f>
        <v>ahmed.iqbal3</v>
      </c>
      <c r="J4" s="4" t="str">
        <v>school.edu</v>
      </c>
      <c r="K4" s="4" t="s">
        <v>24</v>
      </c>
      <c r="L4" s="1" t="s">
        <v>19</v>
      </c>
      <c r="M4">
        <v>11</v>
      </c>
      <c r="N4" s="4" t="s">
        <v>25</v>
      </c>
      <c r="O4" t="str">
        <f t="shared" si="2"/>
        <v>ahmed</v>
      </c>
      <c r="P4" t="str">
        <f t="shared" si="3"/>
        <v>iqbal3</v>
      </c>
      <c r="Q4" t="str">
        <f t="shared" si="4"/>
        <v>ahmed iqbal3</v>
      </c>
      <c r="R4">
        <v>3</v>
      </c>
      <c r="S4">
        <f t="shared" si="5"/>
        <v>1</v>
      </c>
      <c r="T4">
        <f t="shared" si="6"/>
        <v>1</v>
      </c>
      <c r="W4" s="6"/>
    </row>
    <row r="5" spans="1:23" x14ac:dyDescent="0.35">
      <c r="A5" s="1" t="s">
        <v>26</v>
      </c>
      <c r="B5" s="1" t="s">
        <v>27</v>
      </c>
      <c r="C5" s="1" t="s">
        <v>28</v>
      </c>
      <c r="D5" s="1" t="str">
        <f t="shared" si="0"/>
        <v>Noor Siddiqui</v>
      </c>
      <c r="E5" s="1" t="str">
        <f t="shared" si="1"/>
        <v>NoorSiddiqui</v>
      </c>
      <c r="F5" s="1" t="s">
        <v>29</v>
      </c>
      <c r="G5" s="1" t="s">
        <v>30</v>
      </c>
      <c r="H5" s="1" t="str">
        <f>SUBSTITUTE(G5,"edu","edu")</f>
        <v>noor.siddiqui4@school.edu</v>
      </c>
      <c r="I5" s="1" t="str" cm="1">
        <f t="array" ref="I5:J5">_xlfn.TEXTSPLIT(G5,"@")</f>
        <v>noor.siddiqui4</v>
      </c>
      <c r="J5" s="1" t="str">
        <v>school.edu</v>
      </c>
      <c r="K5" s="4" t="s">
        <v>31</v>
      </c>
      <c r="L5" s="1" t="s">
        <v>32</v>
      </c>
      <c r="M5">
        <v>10</v>
      </c>
      <c r="N5" s="4" t="s">
        <v>14</v>
      </c>
      <c r="O5" t="str">
        <f t="shared" si="2"/>
        <v>noor</v>
      </c>
      <c r="P5" t="str">
        <f t="shared" si="3"/>
        <v>siddiqui4</v>
      </c>
      <c r="Q5" t="str">
        <f t="shared" si="4"/>
        <v>noor siddiqui4</v>
      </c>
      <c r="R5">
        <v>4</v>
      </c>
      <c r="S5" t="e">
        <f t="shared" si="5"/>
        <v>#VALUE!</v>
      </c>
      <c r="T5" t="e">
        <f t="shared" si="6"/>
        <v>#VALUE!</v>
      </c>
    </row>
    <row r="6" spans="1:23" x14ac:dyDescent="0.35">
      <c r="A6" s="1" t="s">
        <v>33</v>
      </c>
      <c r="B6" s="1" t="s">
        <v>34</v>
      </c>
      <c r="C6" s="1" t="s">
        <v>35</v>
      </c>
      <c r="D6" s="1" t="str">
        <f t="shared" si="0"/>
        <v>Abdullah Butt</v>
      </c>
      <c r="E6" s="1" t="str">
        <f t="shared" si="1"/>
        <v>AbdullahButt</v>
      </c>
      <c r="F6" s="1" t="s">
        <v>36</v>
      </c>
      <c r="G6" s="1" t="s">
        <v>37</v>
      </c>
      <c r="H6" s="1" t="str">
        <f>SUBSTITUTE(G6,"edu","edu")</f>
        <v>abdullah.butt5@school.edu</v>
      </c>
      <c r="I6" s="1" t="str" cm="1">
        <f t="array" ref="I6:J6">_xlfn.TEXTSPLIT(G6,"@")</f>
        <v>abdullah.butt5</v>
      </c>
      <c r="J6" s="1" t="str">
        <v>school.edu</v>
      </c>
      <c r="K6" s="4" t="s">
        <v>38</v>
      </c>
      <c r="L6" s="1" t="s">
        <v>39</v>
      </c>
      <c r="M6">
        <v>9</v>
      </c>
      <c r="N6" s="4" t="s">
        <v>25</v>
      </c>
      <c r="O6" t="str">
        <f t="shared" si="2"/>
        <v>abdullah</v>
      </c>
      <c r="P6" t="str">
        <f t="shared" si="3"/>
        <v>butt5</v>
      </c>
      <c r="Q6" t="str">
        <f t="shared" si="4"/>
        <v>abdullah butt5</v>
      </c>
      <c r="R6">
        <v>5</v>
      </c>
      <c r="S6">
        <f t="shared" si="5"/>
        <v>1</v>
      </c>
      <c r="T6">
        <f t="shared" si="6"/>
        <v>1</v>
      </c>
    </row>
    <row r="7" spans="1:23" x14ac:dyDescent="0.35">
      <c r="A7" s="1" t="s">
        <v>40</v>
      </c>
      <c r="B7" s="1" t="s">
        <v>41</v>
      </c>
      <c r="C7" s="1" t="s">
        <v>42</v>
      </c>
      <c r="D7" s="1" t="str">
        <f t="shared" si="0"/>
        <v>Zain Sheikh</v>
      </c>
      <c r="E7" s="1" t="str">
        <f t="shared" si="1"/>
        <v>ZainSheikh</v>
      </c>
      <c r="F7" s="1" t="s">
        <v>43</v>
      </c>
      <c r="G7" s="1" t="s">
        <v>44</v>
      </c>
      <c r="H7" s="1" t="str">
        <f>SUBSTITUTE(G7,"edu","edu")</f>
        <v>zain.sheikh6@school.edu</v>
      </c>
      <c r="I7" s="1" t="str" cm="1">
        <f t="array" ref="I7:J7">_xlfn.TEXTSPLIT(G7,"@")</f>
        <v>zain.sheikh6</v>
      </c>
      <c r="J7" s="1" t="str">
        <v>school.edu</v>
      </c>
      <c r="K7" s="4" t="s">
        <v>45</v>
      </c>
      <c r="L7" s="1" t="s">
        <v>13</v>
      </c>
      <c r="M7">
        <v>10</v>
      </c>
      <c r="N7" s="4" t="s">
        <v>25</v>
      </c>
      <c r="O7" t="str">
        <f t="shared" si="2"/>
        <v>zain</v>
      </c>
      <c r="P7" t="str">
        <f t="shared" si="3"/>
        <v>sheikh6</v>
      </c>
      <c r="Q7" t="str">
        <f t="shared" si="4"/>
        <v>zain sheikh6</v>
      </c>
      <c r="R7">
        <v>6</v>
      </c>
      <c r="S7">
        <f t="shared" si="5"/>
        <v>2</v>
      </c>
      <c r="T7">
        <f t="shared" si="6"/>
        <v>2</v>
      </c>
    </row>
    <row r="8" spans="1:23" x14ac:dyDescent="0.35">
      <c r="A8" s="1" t="s">
        <v>46</v>
      </c>
      <c r="B8" s="1" t="s">
        <v>47</v>
      </c>
      <c r="C8" s="1" t="s">
        <v>42</v>
      </c>
      <c r="D8" s="1" t="str">
        <f t="shared" si="0"/>
        <v>Bilal Sheikh</v>
      </c>
      <c r="E8" s="1" t="str">
        <f t="shared" si="1"/>
        <v>BilalSheikh</v>
      </c>
      <c r="F8" s="1" t="s">
        <v>48</v>
      </c>
      <c r="G8" s="1" t="s">
        <v>49</v>
      </c>
      <c r="H8" s="1" t="str">
        <f>SUBSTITUTE(G8,"edu","edu")</f>
        <v>bilal.sheikh7@school.edu</v>
      </c>
      <c r="I8" s="1" t="str" cm="1">
        <f t="array" ref="I8:J8">_xlfn.TEXTSPLIT(G8,"@")</f>
        <v>bilal.sheikh7</v>
      </c>
      <c r="J8" s="1" t="str">
        <v>school.edu</v>
      </c>
      <c r="K8" s="4" t="s">
        <v>50</v>
      </c>
      <c r="L8" s="1" t="s">
        <v>19</v>
      </c>
      <c r="M8">
        <v>10</v>
      </c>
      <c r="N8" s="4" t="s">
        <v>14</v>
      </c>
      <c r="O8" t="str">
        <f t="shared" si="2"/>
        <v>bilal</v>
      </c>
      <c r="P8" t="str">
        <f t="shared" si="3"/>
        <v>sheikh7</v>
      </c>
      <c r="Q8" t="str">
        <f t="shared" si="4"/>
        <v>bilal sheikh7</v>
      </c>
      <c r="R8">
        <v>7</v>
      </c>
      <c r="S8">
        <f t="shared" si="5"/>
        <v>4</v>
      </c>
      <c r="T8">
        <f t="shared" si="6"/>
        <v>4</v>
      </c>
    </row>
    <row r="9" spans="1:23" x14ac:dyDescent="0.35">
      <c r="A9" s="1" t="s">
        <v>51</v>
      </c>
      <c r="B9" s="1" t="s">
        <v>52</v>
      </c>
      <c r="C9" s="1" t="s">
        <v>53</v>
      </c>
      <c r="D9" s="1" t="str">
        <f t="shared" si="0"/>
        <v>Usman Chaudhry</v>
      </c>
      <c r="E9" s="1" t="str">
        <f t="shared" si="1"/>
        <v>UsmanChaudhry</v>
      </c>
      <c r="F9" s="1" t="s">
        <v>54</v>
      </c>
      <c r="G9" s="1" t="s">
        <v>55</v>
      </c>
      <c r="H9" s="1" t="str">
        <f>SUBSTITUTE(G9,"edu","edu")</f>
        <v>usman.chaudhry8@school.edu</v>
      </c>
      <c r="I9" s="1" t="str" cm="1">
        <f t="array" ref="I9:J9">_xlfn.TEXTSPLIT(G9,"@")</f>
        <v>usman.chaudhry8</v>
      </c>
      <c r="J9" s="1" t="str">
        <v>school.edu</v>
      </c>
      <c r="K9" s="4" t="s">
        <v>56</v>
      </c>
      <c r="L9" s="1" t="s">
        <v>19</v>
      </c>
      <c r="M9">
        <v>9</v>
      </c>
      <c r="N9" s="4" t="s">
        <v>25</v>
      </c>
      <c r="O9" t="str">
        <f t="shared" si="2"/>
        <v>usman</v>
      </c>
      <c r="P9" t="str">
        <f t="shared" si="3"/>
        <v>chaudhry8</v>
      </c>
      <c r="Q9" t="str">
        <f t="shared" si="4"/>
        <v>usman chaudhry8</v>
      </c>
      <c r="R9">
        <v>8</v>
      </c>
      <c r="S9">
        <f t="shared" si="5"/>
        <v>4</v>
      </c>
      <c r="T9">
        <f t="shared" si="6"/>
        <v>4</v>
      </c>
    </row>
    <row r="10" spans="1:23" x14ac:dyDescent="0.35">
      <c r="A10" s="1" t="s">
        <v>57</v>
      </c>
      <c r="B10" s="1" t="s">
        <v>58</v>
      </c>
      <c r="C10" s="1" t="s">
        <v>28</v>
      </c>
      <c r="D10" s="1" t="str">
        <f t="shared" si="0"/>
        <v>Hira Siddiqui</v>
      </c>
      <c r="E10" s="1" t="str">
        <f t="shared" si="1"/>
        <v>HiraSiddiqui</v>
      </c>
      <c r="F10" s="1" t="s">
        <v>59</v>
      </c>
      <c r="G10" s="1" t="s">
        <v>60</v>
      </c>
      <c r="H10" s="1" t="str">
        <f>SUBSTITUTE(G10,"edu","edu")</f>
        <v>hira.siddiqui9@school.edu</v>
      </c>
      <c r="I10" s="1" t="str" cm="1">
        <f t="array" ref="I10:J10">_xlfn.TEXTSPLIT(G10,"@")</f>
        <v>hira.siddiqui9</v>
      </c>
      <c r="J10" s="1" t="str">
        <v>school.edu</v>
      </c>
      <c r="K10" s="4" t="s">
        <v>61</v>
      </c>
      <c r="L10" s="1" t="s">
        <v>62</v>
      </c>
      <c r="M10">
        <v>10</v>
      </c>
      <c r="N10" s="4" t="s">
        <v>14</v>
      </c>
      <c r="O10" t="str">
        <f t="shared" si="2"/>
        <v>hira</v>
      </c>
      <c r="P10" t="str">
        <f t="shared" si="3"/>
        <v>siddiqui9</v>
      </c>
      <c r="Q10" t="str">
        <f t="shared" si="4"/>
        <v>hira siddiqui9</v>
      </c>
      <c r="R10">
        <v>9</v>
      </c>
      <c r="S10">
        <f t="shared" si="5"/>
        <v>4</v>
      </c>
      <c r="T10">
        <f t="shared" si="6"/>
        <v>4</v>
      </c>
    </row>
    <row r="11" spans="1:23" x14ac:dyDescent="0.35">
      <c r="A11" s="1" t="s">
        <v>63</v>
      </c>
      <c r="B11" s="1" t="s">
        <v>47</v>
      </c>
      <c r="C11" s="1" t="s">
        <v>35</v>
      </c>
      <c r="D11" s="1" t="str">
        <f t="shared" si="0"/>
        <v>Bilal Butt</v>
      </c>
      <c r="E11" s="1" t="str">
        <f t="shared" si="1"/>
        <v>BilalButt</v>
      </c>
      <c r="F11" s="1" t="s">
        <v>64</v>
      </c>
      <c r="G11" s="1" t="s">
        <v>65</v>
      </c>
      <c r="H11" s="1" t="str">
        <f>SUBSTITUTE(G11,"edu","edu")</f>
        <v>bilal.butt10@school.edu</v>
      </c>
      <c r="I11" s="1" t="str" cm="1">
        <f t="array" ref="I11:J11">_xlfn.TEXTSPLIT(G11,"@")</f>
        <v>bilal.butt10</v>
      </c>
      <c r="J11" s="1" t="str">
        <v>school.edu</v>
      </c>
      <c r="K11" s="4" t="s">
        <v>66</v>
      </c>
      <c r="L11" s="1" t="s">
        <v>62</v>
      </c>
      <c r="M11">
        <v>11</v>
      </c>
      <c r="N11" s="4" t="s">
        <v>25</v>
      </c>
      <c r="O11" t="str">
        <f t="shared" si="2"/>
        <v>bilal</v>
      </c>
      <c r="P11" t="str">
        <f t="shared" si="3"/>
        <v>butt10</v>
      </c>
      <c r="Q11" t="str">
        <f t="shared" si="4"/>
        <v>bilal butt10</v>
      </c>
      <c r="R11">
        <v>10</v>
      </c>
      <c r="S11">
        <f t="shared" si="5"/>
        <v>4</v>
      </c>
      <c r="T11">
        <f t="shared" si="6"/>
        <v>4</v>
      </c>
    </row>
    <row r="12" spans="1:23" x14ac:dyDescent="0.35">
      <c r="A12" s="1" t="s">
        <v>67</v>
      </c>
      <c r="B12" s="1" t="s">
        <v>68</v>
      </c>
      <c r="C12" s="1" t="s">
        <v>69</v>
      </c>
      <c r="D12" s="1" t="str">
        <f t="shared" si="0"/>
        <v>Sara Khan</v>
      </c>
      <c r="E12" s="1" t="str">
        <f t="shared" si="1"/>
        <v>SaraKhan</v>
      </c>
      <c r="F12" s="1" t="s">
        <v>70</v>
      </c>
      <c r="G12" s="1" t="s">
        <v>71</v>
      </c>
      <c r="H12" s="1" t="str">
        <f>SUBSTITUTE(G12,"edu","edu")</f>
        <v>sara.khan11@school.edu</v>
      </c>
      <c r="I12" s="1" t="str" cm="1">
        <f t="array" ref="I12:J12">_xlfn.TEXTSPLIT(G12,"@")</f>
        <v>sara.khan11</v>
      </c>
      <c r="J12" s="1" t="str">
        <v>school.edu</v>
      </c>
      <c r="K12" s="4" t="s">
        <v>72</v>
      </c>
      <c r="L12" s="1" t="s">
        <v>39</v>
      </c>
      <c r="M12">
        <v>11</v>
      </c>
      <c r="N12" s="4" t="s">
        <v>25</v>
      </c>
      <c r="O12" t="str">
        <f t="shared" si="2"/>
        <v>sara</v>
      </c>
      <c r="P12" t="str">
        <f t="shared" si="3"/>
        <v>khan11</v>
      </c>
      <c r="Q12" t="str">
        <f t="shared" si="4"/>
        <v>sara khan11</v>
      </c>
      <c r="R12">
        <v>11</v>
      </c>
      <c r="S12">
        <f t="shared" si="5"/>
        <v>2</v>
      </c>
      <c r="T12">
        <f t="shared" si="6"/>
        <v>2</v>
      </c>
    </row>
    <row r="13" spans="1:23" x14ac:dyDescent="0.35">
      <c r="A13" s="1" t="s">
        <v>73</v>
      </c>
      <c r="B13" s="1" t="s">
        <v>74</v>
      </c>
      <c r="C13" s="1" t="s">
        <v>35</v>
      </c>
      <c r="D13" s="1" t="str">
        <f t="shared" si="0"/>
        <v>Fatima Butt</v>
      </c>
      <c r="E13" s="1" t="str">
        <f t="shared" si="1"/>
        <v>FatimaButt</v>
      </c>
      <c r="F13" s="1" t="s">
        <v>75</v>
      </c>
      <c r="G13" s="1" t="s">
        <v>76</v>
      </c>
      <c r="H13" s="1" t="str">
        <f>SUBSTITUTE(G13,"edu","edu")</f>
        <v>fatima.butt12@school.edu</v>
      </c>
      <c r="I13" s="1" t="str" cm="1">
        <f t="array" ref="I13:J13">_xlfn.TEXTSPLIT(G13,"@")</f>
        <v>fatima.butt12</v>
      </c>
      <c r="J13" s="1" t="str">
        <v>school.edu</v>
      </c>
      <c r="K13" s="4" t="s">
        <v>77</v>
      </c>
      <c r="L13" s="1" t="s">
        <v>13</v>
      </c>
      <c r="M13">
        <v>9</v>
      </c>
      <c r="N13" s="4" t="s">
        <v>14</v>
      </c>
      <c r="O13" t="str">
        <f t="shared" si="2"/>
        <v>fatima</v>
      </c>
      <c r="P13" t="str">
        <f t="shared" si="3"/>
        <v>butt12</v>
      </c>
      <c r="Q13" t="str">
        <f t="shared" si="4"/>
        <v>fatima butt12</v>
      </c>
      <c r="R13">
        <v>12</v>
      </c>
      <c r="S13">
        <f t="shared" si="5"/>
        <v>2</v>
      </c>
      <c r="T13">
        <f t="shared" si="6"/>
        <v>2</v>
      </c>
    </row>
    <row r="14" spans="1:23" x14ac:dyDescent="0.35">
      <c r="A14" s="1" t="s">
        <v>78</v>
      </c>
      <c r="B14" s="1" t="s">
        <v>52</v>
      </c>
      <c r="C14" s="1" t="s">
        <v>53</v>
      </c>
      <c r="D14" s="1" t="str">
        <f t="shared" si="0"/>
        <v>Usman Chaudhry</v>
      </c>
      <c r="E14" s="1" t="str">
        <f t="shared" si="1"/>
        <v>UsmanChaudhry</v>
      </c>
      <c r="F14" s="1" t="s">
        <v>79</v>
      </c>
      <c r="G14" s="1" t="s">
        <v>80</v>
      </c>
      <c r="H14" s="1" t="str">
        <f>SUBSTITUTE(G14,"edu","edu")</f>
        <v>usman.chaudhry13@school.edu</v>
      </c>
      <c r="I14" s="1" t="str" cm="1">
        <f t="array" ref="I14:J14">_xlfn.TEXTSPLIT(G14,"@")</f>
        <v>usman.chaudhry13</v>
      </c>
      <c r="J14" s="1" t="str">
        <v>school.edu</v>
      </c>
      <c r="K14" s="4" t="s">
        <v>81</v>
      </c>
      <c r="L14" s="1" t="s">
        <v>13</v>
      </c>
      <c r="M14">
        <v>9</v>
      </c>
      <c r="N14" s="4" t="s">
        <v>25</v>
      </c>
      <c r="O14" t="str">
        <f t="shared" si="2"/>
        <v>usman</v>
      </c>
      <c r="P14" t="str">
        <f t="shared" si="3"/>
        <v>chaudhry13</v>
      </c>
      <c r="Q14" t="str">
        <f t="shared" si="4"/>
        <v>usman chaudhry13</v>
      </c>
      <c r="R14">
        <v>13</v>
      </c>
      <c r="S14">
        <f t="shared" si="5"/>
        <v>4</v>
      </c>
      <c r="T14">
        <f t="shared" si="6"/>
        <v>4</v>
      </c>
    </row>
    <row r="15" spans="1:23" x14ac:dyDescent="0.35">
      <c r="A15" s="1" t="s">
        <v>82</v>
      </c>
      <c r="B15" s="1" t="s">
        <v>27</v>
      </c>
      <c r="C15" s="1" t="s">
        <v>53</v>
      </c>
      <c r="D15" s="1" t="str">
        <f t="shared" si="0"/>
        <v>Noor Chaudhry</v>
      </c>
      <c r="E15" s="1" t="str">
        <f t="shared" si="1"/>
        <v>NoorChaudhry</v>
      </c>
      <c r="F15" s="1" t="s">
        <v>83</v>
      </c>
      <c r="G15" s="1" t="s">
        <v>84</v>
      </c>
      <c r="H15" s="1" t="str">
        <f>SUBSTITUTE(G15,"edu","edu")</f>
        <v>noor.chaudhry14@school.edu</v>
      </c>
      <c r="I15" s="1" t="str" cm="1">
        <f t="array" ref="I15:J15">_xlfn.TEXTSPLIT(G15,"@")</f>
        <v>noor.chaudhry14</v>
      </c>
      <c r="J15" s="1" t="str">
        <v>school.edu</v>
      </c>
      <c r="K15" s="4" t="s">
        <v>85</v>
      </c>
      <c r="L15" s="1" t="s">
        <v>19</v>
      </c>
      <c r="M15">
        <v>9</v>
      </c>
      <c r="N15" s="4" t="s">
        <v>14</v>
      </c>
      <c r="O15" t="str">
        <f t="shared" si="2"/>
        <v>noor</v>
      </c>
      <c r="P15" t="str">
        <f t="shared" si="3"/>
        <v>chaudhry14</v>
      </c>
      <c r="Q15" t="str">
        <f t="shared" si="4"/>
        <v>noor chaudhry14</v>
      </c>
      <c r="R15">
        <v>14</v>
      </c>
      <c r="S15">
        <f t="shared" si="5"/>
        <v>8</v>
      </c>
      <c r="T15">
        <f t="shared" si="6"/>
        <v>8</v>
      </c>
    </row>
    <row r="16" spans="1:23" x14ac:dyDescent="0.35">
      <c r="A16" s="1" t="s">
        <v>86</v>
      </c>
      <c r="B16" s="1" t="s">
        <v>9</v>
      </c>
      <c r="C16" s="1" t="s">
        <v>87</v>
      </c>
      <c r="D16" s="1" t="str">
        <f t="shared" si="0"/>
        <v>Ahmed Raza</v>
      </c>
      <c r="E16" s="1" t="str">
        <f t="shared" si="1"/>
        <v>AhmedRaza</v>
      </c>
      <c r="F16" s="1" t="s">
        <v>88</v>
      </c>
      <c r="G16" s="1" t="s">
        <v>89</v>
      </c>
      <c r="H16" s="1" t="str">
        <f>SUBSTITUTE(G16,"edu","edu")</f>
        <v>ahmed.raza15@school.edu</v>
      </c>
      <c r="I16" s="1" t="str" cm="1">
        <f t="array" ref="I16:J16">_xlfn.TEXTSPLIT(G16,"@")</f>
        <v>ahmed.raza15</v>
      </c>
      <c r="J16" s="1" t="str">
        <v>school.edu</v>
      </c>
      <c r="K16" s="4" t="s">
        <v>90</v>
      </c>
      <c r="L16" s="1" t="s">
        <v>62</v>
      </c>
      <c r="M16">
        <v>9</v>
      </c>
      <c r="N16" s="4" t="s">
        <v>14</v>
      </c>
      <c r="O16" t="str">
        <f t="shared" si="2"/>
        <v>ahmed</v>
      </c>
      <c r="P16" t="str">
        <f t="shared" si="3"/>
        <v>raza15</v>
      </c>
      <c r="Q16" t="str">
        <f t="shared" si="4"/>
        <v>ahmed raza15</v>
      </c>
      <c r="R16">
        <v>15</v>
      </c>
      <c r="S16">
        <f t="shared" si="5"/>
        <v>1</v>
      </c>
      <c r="T16">
        <f t="shared" si="6"/>
        <v>1</v>
      </c>
    </row>
    <row r="17" spans="1:20" x14ac:dyDescent="0.35">
      <c r="A17" s="1" t="s">
        <v>91</v>
      </c>
      <c r="B17" s="1" t="s">
        <v>52</v>
      </c>
      <c r="C17" s="1" t="s">
        <v>42</v>
      </c>
      <c r="D17" s="1" t="str">
        <f t="shared" si="0"/>
        <v>Usman Sheikh</v>
      </c>
      <c r="E17" s="1" t="str">
        <f t="shared" si="1"/>
        <v>UsmanSheikh</v>
      </c>
      <c r="F17" s="1" t="s">
        <v>48</v>
      </c>
      <c r="G17" s="1" t="s">
        <v>92</v>
      </c>
      <c r="H17" s="1" t="str">
        <f>SUBSTITUTE(G17,"edu","edu")</f>
        <v>usman.sheikh16@school.edu</v>
      </c>
      <c r="I17" s="1" t="str" cm="1">
        <f t="array" ref="I17:J17">_xlfn.TEXTSPLIT(G17,"@")</f>
        <v>usman.sheikh16</v>
      </c>
      <c r="J17" s="1" t="str">
        <v>school.edu</v>
      </c>
      <c r="K17" s="4" t="s">
        <v>93</v>
      </c>
      <c r="L17" s="1" t="s">
        <v>39</v>
      </c>
      <c r="M17">
        <v>10</v>
      </c>
      <c r="N17" s="4" t="s">
        <v>14</v>
      </c>
      <c r="O17" t="str">
        <f t="shared" si="2"/>
        <v>usman</v>
      </c>
      <c r="P17" t="str">
        <f t="shared" si="3"/>
        <v>sheikh16</v>
      </c>
      <c r="Q17" t="str">
        <f t="shared" si="4"/>
        <v>usman sheikh16</v>
      </c>
      <c r="R17">
        <v>16</v>
      </c>
      <c r="S17">
        <f t="shared" si="5"/>
        <v>4</v>
      </c>
      <c r="T17">
        <f t="shared" si="6"/>
        <v>4</v>
      </c>
    </row>
    <row r="18" spans="1:20" x14ac:dyDescent="0.35">
      <c r="A18" s="1" t="s">
        <v>94</v>
      </c>
      <c r="B18" s="1" t="s">
        <v>41</v>
      </c>
      <c r="C18" s="1" t="s">
        <v>35</v>
      </c>
      <c r="D18" s="1" t="str">
        <f t="shared" si="0"/>
        <v>Zain Butt</v>
      </c>
      <c r="E18" s="1" t="str">
        <f t="shared" si="1"/>
        <v>ZainButt</v>
      </c>
      <c r="F18" s="1" t="s">
        <v>64</v>
      </c>
      <c r="G18" s="1" t="s">
        <v>95</v>
      </c>
      <c r="H18" s="1" t="str">
        <f>SUBSTITUTE(G18,"edu","edu")</f>
        <v>zain.butt17@school.edu</v>
      </c>
      <c r="I18" s="1" t="str" cm="1">
        <f t="array" ref="I18:J18">_xlfn.TEXTSPLIT(G18,"@")</f>
        <v>zain.butt17</v>
      </c>
      <c r="J18" s="1" t="str">
        <v>school.edu</v>
      </c>
      <c r="K18" s="4" t="s">
        <v>96</v>
      </c>
      <c r="L18" s="1" t="s">
        <v>39</v>
      </c>
      <c r="M18">
        <v>10</v>
      </c>
      <c r="N18" s="4" t="s">
        <v>14</v>
      </c>
      <c r="O18" t="str">
        <f t="shared" si="2"/>
        <v>zain</v>
      </c>
      <c r="P18" t="str">
        <f t="shared" si="3"/>
        <v>butt17</v>
      </c>
      <c r="Q18" t="str">
        <f t="shared" si="4"/>
        <v>zain butt17</v>
      </c>
      <c r="R18">
        <v>17</v>
      </c>
      <c r="S18">
        <f t="shared" si="5"/>
        <v>2</v>
      </c>
      <c r="T18">
        <f t="shared" si="6"/>
        <v>2</v>
      </c>
    </row>
    <row r="19" spans="1:20" x14ac:dyDescent="0.35">
      <c r="A19" s="1" t="s">
        <v>97</v>
      </c>
      <c r="B19" s="1" t="s">
        <v>52</v>
      </c>
      <c r="C19" s="1" t="s">
        <v>35</v>
      </c>
      <c r="D19" s="1" t="str">
        <f t="shared" si="0"/>
        <v>Usman Butt</v>
      </c>
      <c r="E19" s="1" t="str">
        <f t="shared" si="1"/>
        <v>UsmanButt</v>
      </c>
      <c r="F19" s="1" t="s">
        <v>98</v>
      </c>
      <c r="G19" s="1" t="s">
        <v>99</v>
      </c>
      <c r="H19" s="1" t="str">
        <f>SUBSTITUTE(G19,"edu","edu")</f>
        <v>usman.butt18@school.edu</v>
      </c>
      <c r="I19" s="1" t="str" cm="1">
        <f t="array" ref="I19:J19">_xlfn.TEXTSPLIT(G19,"@")</f>
        <v>usman.butt18</v>
      </c>
      <c r="J19" s="1" t="str">
        <v>school.edu</v>
      </c>
      <c r="K19" s="4" t="s">
        <v>100</v>
      </c>
      <c r="L19" s="1" t="s">
        <v>13</v>
      </c>
      <c r="M19">
        <v>9</v>
      </c>
      <c r="N19" s="4" t="s">
        <v>14</v>
      </c>
      <c r="O19" t="str">
        <f t="shared" si="2"/>
        <v>usman</v>
      </c>
      <c r="P19" t="str">
        <f t="shared" si="3"/>
        <v>butt18</v>
      </c>
      <c r="Q19" t="str">
        <f t="shared" si="4"/>
        <v>usman butt18</v>
      </c>
      <c r="R19">
        <v>18</v>
      </c>
      <c r="S19">
        <f t="shared" si="5"/>
        <v>4</v>
      </c>
      <c r="T19">
        <f t="shared" si="6"/>
        <v>4</v>
      </c>
    </row>
    <row r="20" spans="1:20" x14ac:dyDescent="0.35">
      <c r="A20" s="1" t="s">
        <v>101</v>
      </c>
      <c r="B20" s="1" t="s">
        <v>52</v>
      </c>
      <c r="C20" s="1" t="s">
        <v>9</v>
      </c>
      <c r="D20" s="1" t="str">
        <f t="shared" si="0"/>
        <v>Usman Ahmed</v>
      </c>
      <c r="E20" s="1" t="str">
        <f t="shared" si="1"/>
        <v>UsmanAhmed</v>
      </c>
      <c r="F20" s="1" t="s">
        <v>102</v>
      </c>
      <c r="G20" s="1" t="s">
        <v>103</v>
      </c>
      <c r="H20" s="1" t="str">
        <f>SUBSTITUTE(G20,"edu","edu")</f>
        <v>usman.ahmed19@school.edu</v>
      </c>
      <c r="I20" s="1" t="str" cm="1">
        <f t="array" ref="I20:J20">_xlfn.TEXTSPLIT(G20,"@")</f>
        <v>usman.ahmed19</v>
      </c>
      <c r="J20" s="1" t="str">
        <v>school.edu</v>
      </c>
      <c r="K20" s="4" t="s">
        <v>104</v>
      </c>
      <c r="L20" s="1" t="s">
        <v>32</v>
      </c>
      <c r="M20">
        <v>10</v>
      </c>
      <c r="N20" s="4" t="s">
        <v>14</v>
      </c>
      <c r="O20" t="str">
        <f t="shared" si="2"/>
        <v>usman</v>
      </c>
      <c r="P20" t="str">
        <f t="shared" si="3"/>
        <v>ahmed19</v>
      </c>
      <c r="Q20" t="str">
        <f t="shared" si="4"/>
        <v>usman ahmed19</v>
      </c>
      <c r="R20">
        <v>19</v>
      </c>
      <c r="S20">
        <f t="shared" si="5"/>
        <v>4</v>
      </c>
      <c r="T20">
        <f t="shared" si="6"/>
        <v>4</v>
      </c>
    </row>
    <row r="21" spans="1:20" x14ac:dyDescent="0.35">
      <c r="A21" s="1" t="s">
        <v>105</v>
      </c>
      <c r="B21" s="1" t="s">
        <v>9</v>
      </c>
      <c r="C21" s="1" t="s">
        <v>53</v>
      </c>
      <c r="D21" s="1" t="str">
        <f t="shared" si="0"/>
        <v>Ahmed Chaudhry</v>
      </c>
      <c r="E21" s="1" t="str">
        <f t="shared" si="1"/>
        <v>AhmedChaudhry</v>
      </c>
      <c r="F21" s="1" t="s">
        <v>106</v>
      </c>
      <c r="G21" s="1" t="s">
        <v>107</v>
      </c>
      <c r="H21" s="1" t="str">
        <f>SUBSTITUTE(G21,"edu","edu")</f>
        <v>ahmed.chaudhry20@school.edu</v>
      </c>
      <c r="I21" s="1" t="str" cm="1">
        <f t="array" ref="I21:J21">_xlfn.TEXTSPLIT(G21,"@")</f>
        <v>ahmed.chaudhry20</v>
      </c>
      <c r="J21" s="1" t="str">
        <v>school.edu</v>
      </c>
      <c r="K21" s="4" t="s">
        <v>108</v>
      </c>
      <c r="L21" s="1" t="s">
        <v>39</v>
      </c>
      <c r="M21">
        <v>9</v>
      </c>
      <c r="N21" s="4" t="s">
        <v>14</v>
      </c>
      <c r="O21" t="str">
        <f t="shared" si="2"/>
        <v>ahmed</v>
      </c>
      <c r="P21" t="str">
        <f t="shared" si="3"/>
        <v>chaudhry20</v>
      </c>
      <c r="Q21" t="str">
        <f t="shared" si="4"/>
        <v>ahmed chaudhry20</v>
      </c>
      <c r="R21">
        <v>20</v>
      </c>
      <c r="S21">
        <f t="shared" si="5"/>
        <v>1</v>
      </c>
      <c r="T21">
        <f t="shared" si="6"/>
        <v>1</v>
      </c>
    </row>
    <row r="22" spans="1:20" x14ac:dyDescent="0.35">
      <c r="A22" s="1" t="s">
        <v>109</v>
      </c>
      <c r="B22" s="1" t="s">
        <v>34</v>
      </c>
      <c r="C22" s="1" t="s">
        <v>69</v>
      </c>
      <c r="D22" s="1" t="str">
        <f t="shared" si="0"/>
        <v>Abdullah Khan</v>
      </c>
      <c r="E22" s="1" t="str">
        <f t="shared" si="1"/>
        <v>AbdullahKhan</v>
      </c>
      <c r="F22" s="1" t="s">
        <v>110</v>
      </c>
      <c r="G22" s="1" t="s">
        <v>111</v>
      </c>
      <c r="H22" s="1" t="str">
        <f>SUBSTITUTE(G22,"edu","edu")</f>
        <v>abdullah.khan21@school.edu</v>
      </c>
      <c r="I22" s="1" t="str" cm="1">
        <f t="array" ref="I22:J22">_xlfn.TEXTSPLIT(G22,"@")</f>
        <v>abdullah.khan21</v>
      </c>
      <c r="J22" s="1" t="str">
        <v>school.edu</v>
      </c>
      <c r="K22" s="4" t="s">
        <v>112</v>
      </c>
      <c r="L22" s="1" t="s">
        <v>62</v>
      </c>
      <c r="M22">
        <v>9</v>
      </c>
      <c r="N22" s="4" t="s">
        <v>14</v>
      </c>
      <c r="O22" t="str">
        <f t="shared" si="2"/>
        <v>abdullah</v>
      </c>
      <c r="P22" t="str">
        <f t="shared" si="3"/>
        <v>khan21</v>
      </c>
      <c r="Q22" t="str">
        <f t="shared" si="4"/>
        <v>abdullah khan21</v>
      </c>
      <c r="R22">
        <v>21</v>
      </c>
      <c r="S22">
        <f t="shared" si="5"/>
        <v>1</v>
      </c>
      <c r="T22">
        <f t="shared" si="6"/>
        <v>1</v>
      </c>
    </row>
    <row r="23" spans="1:20" x14ac:dyDescent="0.35">
      <c r="A23" s="1" t="s">
        <v>113</v>
      </c>
      <c r="B23" s="1" t="s">
        <v>114</v>
      </c>
      <c r="C23" s="1" t="s">
        <v>115</v>
      </c>
      <c r="D23" s="1" t="str">
        <f t="shared" si="0"/>
        <v>Ayesha Malik</v>
      </c>
      <c r="E23" s="1" t="str">
        <f t="shared" si="1"/>
        <v>AyeshaMalik</v>
      </c>
      <c r="F23" s="1" t="s">
        <v>116</v>
      </c>
      <c r="G23" s="1" t="s">
        <v>117</v>
      </c>
      <c r="H23" s="1" t="str">
        <f>SUBSTITUTE(G23,"edu","edu")</f>
        <v>ayesha.malik22@school.edu</v>
      </c>
      <c r="I23" s="1" t="str" cm="1">
        <f t="array" ref="I23:J23">_xlfn.TEXTSPLIT(G23,"@")</f>
        <v>ayesha.malik22</v>
      </c>
      <c r="J23" s="1" t="str">
        <v>school.edu</v>
      </c>
      <c r="K23" s="4" t="s">
        <v>118</v>
      </c>
      <c r="L23" s="1" t="s">
        <v>39</v>
      </c>
      <c r="M23">
        <v>9</v>
      </c>
      <c r="N23" s="4" t="s">
        <v>14</v>
      </c>
      <c r="O23" t="str">
        <f t="shared" si="2"/>
        <v>ayesha</v>
      </c>
      <c r="P23" t="str">
        <f t="shared" si="3"/>
        <v>malik22</v>
      </c>
      <c r="Q23" t="str">
        <f t="shared" si="4"/>
        <v>ayesha malik22</v>
      </c>
      <c r="R23">
        <v>22</v>
      </c>
      <c r="S23">
        <f t="shared" si="5"/>
        <v>1</v>
      </c>
      <c r="T23">
        <f t="shared" si="6"/>
        <v>1</v>
      </c>
    </row>
    <row r="24" spans="1:20" x14ac:dyDescent="0.35">
      <c r="A24" s="1" t="s">
        <v>119</v>
      </c>
      <c r="B24" s="1" t="s">
        <v>27</v>
      </c>
      <c r="C24" s="1" t="s">
        <v>53</v>
      </c>
      <c r="D24" s="1" t="str">
        <f t="shared" si="0"/>
        <v>Noor Chaudhry</v>
      </c>
      <c r="E24" s="1" t="str">
        <f t="shared" si="1"/>
        <v>NoorChaudhry</v>
      </c>
      <c r="F24" s="1" t="s">
        <v>54</v>
      </c>
      <c r="G24" s="1" t="s">
        <v>120</v>
      </c>
      <c r="H24" s="1" t="str">
        <f>SUBSTITUTE(G24,"edu","edu")</f>
        <v>noor.chaudhry23@school.edu</v>
      </c>
      <c r="I24" s="1" t="str" cm="1">
        <f t="array" ref="I24:J24">_xlfn.TEXTSPLIT(G24,"@")</f>
        <v>noor.chaudhry23</v>
      </c>
      <c r="J24" s="1" t="str">
        <v>school.edu</v>
      </c>
      <c r="K24" s="4" t="s">
        <v>121</v>
      </c>
      <c r="L24" s="1" t="s">
        <v>62</v>
      </c>
      <c r="M24">
        <v>11</v>
      </c>
      <c r="N24" s="4" t="s">
        <v>25</v>
      </c>
      <c r="O24" t="str">
        <f t="shared" si="2"/>
        <v>noor</v>
      </c>
      <c r="P24" t="str">
        <f t="shared" si="3"/>
        <v>chaudhry23</v>
      </c>
      <c r="Q24" t="str">
        <f t="shared" si="4"/>
        <v>noor chaudhry23</v>
      </c>
      <c r="R24">
        <v>23</v>
      </c>
      <c r="S24">
        <f t="shared" si="5"/>
        <v>8</v>
      </c>
      <c r="T24">
        <f t="shared" si="6"/>
        <v>8</v>
      </c>
    </row>
    <row r="25" spans="1:20" x14ac:dyDescent="0.35">
      <c r="A25" s="1" t="s">
        <v>122</v>
      </c>
      <c r="B25" s="1" t="s">
        <v>47</v>
      </c>
      <c r="C25" s="1" t="s">
        <v>9</v>
      </c>
      <c r="D25" s="1" t="str">
        <f t="shared" si="0"/>
        <v>Bilal Ahmed</v>
      </c>
      <c r="E25" s="1" t="str">
        <f t="shared" si="1"/>
        <v>BilalAhmed</v>
      </c>
      <c r="F25" s="1" t="s">
        <v>123</v>
      </c>
      <c r="G25" s="1" t="s">
        <v>124</v>
      </c>
      <c r="H25" s="1" t="str">
        <f>SUBSTITUTE(G25,"edu","edu")</f>
        <v>bilal.ahmed24@school.edu</v>
      </c>
      <c r="I25" s="1" t="str" cm="1">
        <f t="array" ref="I25:J25">_xlfn.TEXTSPLIT(G25,"@")</f>
        <v>bilal.ahmed24</v>
      </c>
      <c r="J25" s="1" t="str">
        <v>school.edu</v>
      </c>
      <c r="K25" s="4" t="s">
        <v>125</v>
      </c>
      <c r="L25" s="1" t="s">
        <v>13</v>
      </c>
      <c r="M25">
        <v>10</v>
      </c>
      <c r="N25" s="4" t="s">
        <v>25</v>
      </c>
      <c r="O25" t="str">
        <f t="shared" si="2"/>
        <v>bilal</v>
      </c>
      <c r="P25" t="str">
        <f t="shared" si="3"/>
        <v>ahmed24</v>
      </c>
      <c r="Q25" t="str">
        <f t="shared" si="4"/>
        <v>bilal ahmed24</v>
      </c>
      <c r="R25">
        <v>24</v>
      </c>
      <c r="S25">
        <f t="shared" si="5"/>
        <v>4</v>
      </c>
      <c r="T25">
        <f t="shared" si="6"/>
        <v>4</v>
      </c>
    </row>
    <row r="26" spans="1:20" x14ac:dyDescent="0.35">
      <c r="A26" s="1" t="s">
        <v>126</v>
      </c>
      <c r="B26" s="1" t="s">
        <v>47</v>
      </c>
      <c r="C26" s="1" t="s">
        <v>21</v>
      </c>
      <c r="D26" s="1" t="str">
        <f t="shared" si="0"/>
        <v>Bilal Iqbal</v>
      </c>
      <c r="E26" s="1" t="str">
        <f t="shared" si="1"/>
        <v>BilalIqbal</v>
      </c>
      <c r="F26" s="1" t="s">
        <v>127</v>
      </c>
      <c r="G26" s="1" t="s">
        <v>128</v>
      </c>
      <c r="H26" s="1" t="str">
        <f>SUBSTITUTE(G26,"edu","edu")</f>
        <v>bilal.iqbal25@school.edu</v>
      </c>
      <c r="I26" s="1" t="str" cm="1">
        <f t="array" ref="I26:J26">_xlfn.TEXTSPLIT(G26,"@")</f>
        <v>bilal.iqbal25</v>
      </c>
      <c r="J26" s="1" t="str">
        <v>school.edu</v>
      </c>
      <c r="K26" s="4" t="s">
        <v>129</v>
      </c>
      <c r="L26" s="1" t="s">
        <v>32</v>
      </c>
      <c r="M26">
        <v>10</v>
      </c>
      <c r="N26" s="4" t="s">
        <v>25</v>
      </c>
      <c r="O26" t="str">
        <f t="shared" si="2"/>
        <v>bilal</v>
      </c>
      <c r="P26" t="str">
        <f t="shared" si="3"/>
        <v>iqbal25</v>
      </c>
      <c r="Q26" t="str">
        <f t="shared" si="4"/>
        <v>bilal iqbal25</v>
      </c>
      <c r="R26">
        <v>25</v>
      </c>
      <c r="S26">
        <f t="shared" si="5"/>
        <v>4</v>
      </c>
      <c r="T26">
        <f t="shared" si="6"/>
        <v>4</v>
      </c>
    </row>
    <row r="27" spans="1:20" x14ac:dyDescent="0.35">
      <c r="A27" s="1" t="s">
        <v>130</v>
      </c>
      <c r="B27" s="1" t="s">
        <v>16</v>
      </c>
      <c r="C27" s="1" t="s">
        <v>115</v>
      </c>
      <c r="D27" s="1" t="str">
        <f t="shared" si="0"/>
        <v>Maryam Malik</v>
      </c>
      <c r="E27" s="1" t="str">
        <f t="shared" si="1"/>
        <v>MaryamMalik</v>
      </c>
      <c r="F27" s="1" t="s">
        <v>131</v>
      </c>
      <c r="G27" s="1" t="s">
        <v>132</v>
      </c>
      <c r="H27" s="1" t="str">
        <f>SUBSTITUTE(G27,"edu","edu")</f>
        <v>maryam.malik26@school.edu</v>
      </c>
      <c r="I27" s="1" t="str" cm="1">
        <f t="array" ref="I27:J27">_xlfn.TEXTSPLIT(G27,"@")</f>
        <v>maryam.malik26</v>
      </c>
      <c r="J27" s="1" t="str">
        <v>school.edu</v>
      </c>
      <c r="K27" s="4" t="s">
        <v>133</v>
      </c>
      <c r="L27" s="1" t="s">
        <v>62</v>
      </c>
      <c r="M27">
        <v>11</v>
      </c>
      <c r="N27" s="4" t="s">
        <v>25</v>
      </c>
      <c r="O27" t="str">
        <f t="shared" si="2"/>
        <v>maryam</v>
      </c>
      <c r="P27" t="str">
        <f t="shared" si="3"/>
        <v>malik26</v>
      </c>
      <c r="Q27" t="str">
        <f t="shared" si="4"/>
        <v>maryam malik26</v>
      </c>
      <c r="R27">
        <v>26</v>
      </c>
      <c r="S27">
        <f t="shared" si="5"/>
        <v>2</v>
      </c>
      <c r="T27">
        <f t="shared" si="6"/>
        <v>2</v>
      </c>
    </row>
    <row r="28" spans="1:20" x14ac:dyDescent="0.35">
      <c r="A28" s="1" t="s">
        <v>134</v>
      </c>
      <c r="B28" s="1" t="s">
        <v>135</v>
      </c>
      <c r="C28" s="1" t="s">
        <v>69</v>
      </c>
      <c r="D28" s="1" t="str">
        <f t="shared" si="0"/>
        <v>Hassan Khan</v>
      </c>
      <c r="E28" s="1" t="str">
        <f t="shared" si="1"/>
        <v>HassanKhan</v>
      </c>
      <c r="F28" s="1" t="s">
        <v>136</v>
      </c>
      <c r="G28" s="1" t="s">
        <v>137</v>
      </c>
      <c r="H28" s="1" t="str">
        <f>SUBSTITUTE(G28,"edu","edu")</f>
        <v>hassan.khan27@school.edu</v>
      </c>
      <c r="I28" s="1" t="str" cm="1">
        <f t="array" ref="I28:J28">_xlfn.TEXTSPLIT(G28,"@")</f>
        <v>hassan.khan27</v>
      </c>
      <c r="J28" s="1" t="str">
        <v>school.edu</v>
      </c>
      <c r="K28" s="4" t="s">
        <v>138</v>
      </c>
      <c r="L28" s="1" t="s">
        <v>32</v>
      </c>
      <c r="M28">
        <v>10</v>
      </c>
      <c r="N28" s="4" t="s">
        <v>25</v>
      </c>
      <c r="O28" t="str">
        <f t="shared" si="2"/>
        <v>hassan</v>
      </c>
      <c r="P28" t="str">
        <f t="shared" si="3"/>
        <v>khan27</v>
      </c>
      <c r="Q28" t="str">
        <f t="shared" si="4"/>
        <v>hassan khan27</v>
      </c>
      <c r="R28">
        <v>27</v>
      </c>
      <c r="S28">
        <f t="shared" si="5"/>
        <v>2</v>
      </c>
      <c r="T28">
        <f t="shared" si="6"/>
        <v>2</v>
      </c>
    </row>
    <row r="29" spans="1:20" x14ac:dyDescent="0.35">
      <c r="A29" s="1" t="s">
        <v>139</v>
      </c>
      <c r="B29" s="1" t="s">
        <v>41</v>
      </c>
      <c r="C29" s="1" t="s">
        <v>115</v>
      </c>
      <c r="D29" s="1" t="str">
        <f t="shared" si="0"/>
        <v>Zain Malik</v>
      </c>
      <c r="E29" s="1" t="str">
        <f t="shared" si="1"/>
        <v>ZainMalik</v>
      </c>
      <c r="F29" s="1" t="s">
        <v>131</v>
      </c>
      <c r="G29" s="1" t="s">
        <v>140</v>
      </c>
      <c r="H29" s="1" t="str">
        <f>SUBSTITUTE(G29,"edu","edu")</f>
        <v>zain.malik28@school.edu</v>
      </c>
      <c r="I29" s="1" t="str" cm="1">
        <f t="array" ref="I29:J29">_xlfn.TEXTSPLIT(G29,"@")</f>
        <v>zain.malik28</v>
      </c>
      <c r="J29" s="1" t="str">
        <v>school.edu</v>
      </c>
      <c r="K29" s="4" t="s">
        <v>141</v>
      </c>
      <c r="L29" s="1" t="s">
        <v>19</v>
      </c>
      <c r="M29">
        <v>9</v>
      </c>
      <c r="N29" s="4" t="s">
        <v>14</v>
      </c>
      <c r="O29" t="str">
        <f t="shared" si="2"/>
        <v>zain</v>
      </c>
      <c r="P29" t="str">
        <f t="shared" si="3"/>
        <v>malik28</v>
      </c>
      <c r="Q29" t="str">
        <f t="shared" si="4"/>
        <v>zain malik28</v>
      </c>
      <c r="R29">
        <v>28</v>
      </c>
      <c r="S29">
        <f t="shared" si="5"/>
        <v>2</v>
      </c>
      <c r="T29">
        <f t="shared" si="6"/>
        <v>2</v>
      </c>
    </row>
    <row r="30" spans="1:20" x14ac:dyDescent="0.35">
      <c r="A30" s="1" t="s">
        <v>142</v>
      </c>
      <c r="B30" s="1" t="s">
        <v>52</v>
      </c>
      <c r="C30" s="1" t="s">
        <v>143</v>
      </c>
      <c r="D30" s="1" t="str">
        <f t="shared" si="0"/>
        <v>Usman Farooq</v>
      </c>
      <c r="E30" s="1" t="str">
        <f t="shared" si="1"/>
        <v>UsmanFarooq</v>
      </c>
      <c r="F30" s="1" t="s">
        <v>144</v>
      </c>
      <c r="G30" s="1" t="s">
        <v>145</v>
      </c>
      <c r="H30" s="1" t="str">
        <f>SUBSTITUTE(G30,"edu","edu")</f>
        <v>usman.farooq29@school.edu</v>
      </c>
      <c r="I30" s="1" t="str" cm="1">
        <f t="array" ref="I30:J30">_xlfn.TEXTSPLIT(G30,"@")</f>
        <v>usman.farooq29</v>
      </c>
      <c r="J30" s="1" t="str">
        <v>school.edu</v>
      </c>
      <c r="K30" s="4" t="s">
        <v>146</v>
      </c>
      <c r="L30" s="1" t="s">
        <v>19</v>
      </c>
      <c r="M30">
        <v>9</v>
      </c>
      <c r="N30" s="4" t="s">
        <v>14</v>
      </c>
      <c r="O30" t="str">
        <f t="shared" si="2"/>
        <v>usman</v>
      </c>
      <c r="P30" t="str">
        <f t="shared" si="3"/>
        <v>farooq29</v>
      </c>
      <c r="Q30" t="str">
        <f t="shared" si="4"/>
        <v>usman farooq29</v>
      </c>
      <c r="R30">
        <v>29</v>
      </c>
      <c r="S30">
        <f t="shared" si="5"/>
        <v>4</v>
      </c>
      <c r="T30">
        <f t="shared" si="6"/>
        <v>4</v>
      </c>
    </row>
    <row r="31" spans="1:20" x14ac:dyDescent="0.35">
      <c r="A31" s="1" t="s">
        <v>147</v>
      </c>
      <c r="B31" s="1" t="s">
        <v>148</v>
      </c>
      <c r="C31" s="1" t="s">
        <v>53</v>
      </c>
      <c r="D31" s="1" t="str">
        <f t="shared" si="0"/>
        <v>Ali Chaudhry</v>
      </c>
      <c r="E31" s="1" t="str">
        <f t="shared" si="1"/>
        <v>AliChaudhry</v>
      </c>
      <c r="F31" s="1" t="s">
        <v>149</v>
      </c>
      <c r="G31" s="1" t="s">
        <v>150</v>
      </c>
      <c r="H31" s="1" t="str">
        <f>SUBSTITUTE(G31,"edu","edu")</f>
        <v>ali.chaudhry30@school.edu</v>
      </c>
      <c r="I31" s="1" t="str" cm="1">
        <f t="array" ref="I31:J31">_xlfn.TEXTSPLIT(G31,"@")</f>
        <v>ali.chaudhry30</v>
      </c>
      <c r="J31" s="1" t="str">
        <v>school.edu</v>
      </c>
      <c r="K31" s="4" t="s">
        <v>151</v>
      </c>
      <c r="L31" s="1" t="s">
        <v>19</v>
      </c>
      <c r="M31">
        <v>10</v>
      </c>
      <c r="N31" s="4" t="s">
        <v>14</v>
      </c>
      <c r="O31" t="str">
        <f t="shared" si="2"/>
        <v>ali</v>
      </c>
      <c r="P31" t="str">
        <f t="shared" si="3"/>
        <v>chaudhry30</v>
      </c>
      <c r="Q31" t="str">
        <f t="shared" si="4"/>
        <v>ali chaudhry30</v>
      </c>
      <c r="R31">
        <v>30</v>
      </c>
      <c r="S31">
        <f t="shared" si="5"/>
        <v>1</v>
      </c>
      <c r="T31">
        <f t="shared" si="6"/>
        <v>1</v>
      </c>
    </row>
    <row r="32" spans="1:20" x14ac:dyDescent="0.35">
      <c r="A32" s="1" t="s">
        <v>152</v>
      </c>
      <c r="B32" s="1" t="s">
        <v>135</v>
      </c>
      <c r="C32" s="1" t="s">
        <v>9</v>
      </c>
      <c r="D32" s="1" t="str">
        <f t="shared" si="0"/>
        <v>Hassan Ahmed</v>
      </c>
      <c r="E32" s="1" t="str">
        <f t="shared" si="1"/>
        <v>HassanAhmed</v>
      </c>
      <c r="F32" s="1" t="s">
        <v>10</v>
      </c>
      <c r="G32" s="1" t="s">
        <v>153</v>
      </c>
      <c r="H32" s="1" t="str">
        <f>SUBSTITUTE(G32,"edu","edu")</f>
        <v>hassan.ahmed31@school.edu</v>
      </c>
      <c r="I32" s="1" t="str" cm="1">
        <f t="array" ref="I32:J32">_xlfn.TEXTSPLIT(G32,"@")</f>
        <v>hassan.ahmed31</v>
      </c>
      <c r="J32" s="1" t="str">
        <v>school.edu</v>
      </c>
      <c r="K32" s="4" t="s">
        <v>154</v>
      </c>
      <c r="L32" s="1" t="s">
        <v>19</v>
      </c>
      <c r="M32">
        <v>9</v>
      </c>
      <c r="N32" s="4" t="s">
        <v>14</v>
      </c>
      <c r="O32" t="str">
        <f t="shared" si="2"/>
        <v>hassan</v>
      </c>
      <c r="P32" t="str">
        <f t="shared" si="3"/>
        <v>ahmed31</v>
      </c>
      <c r="Q32" t="str">
        <f t="shared" si="4"/>
        <v>hassan ahmed31</v>
      </c>
      <c r="R32">
        <v>31</v>
      </c>
      <c r="S32">
        <f t="shared" si="5"/>
        <v>2</v>
      </c>
      <c r="T32">
        <f t="shared" si="6"/>
        <v>2</v>
      </c>
    </row>
    <row r="33" spans="1:20" x14ac:dyDescent="0.35">
      <c r="A33" s="1" t="s">
        <v>155</v>
      </c>
      <c r="B33" s="1" t="s">
        <v>74</v>
      </c>
      <c r="C33" s="1" t="s">
        <v>143</v>
      </c>
      <c r="D33" s="1" t="str">
        <f t="shared" si="0"/>
        <v>Fatima Farooq</v>
      </c>
      <c r="E33" s="1" t="str">
        <f t="shared" si="1"/>
        <v>FatimaFarooq</v>
      </c>
      <c r="F33" s="1" t="s">
        <v>144</v>
      </c>
      <c r="G33" s="1" t="s">
        <v>156</v>
      </c>
      <c r="H33" s="1" t="str">
        <f>SUBSTITUTE(G33,"edu","edu")</f>
        <v>fatima.farooq32@school.edu</v>
      </c>
      <c r="I33" s="1" t="str" cm="1">
        <f t="array" ref="I33:J33">_xlfn.TEXTSPLIT(G33,"@")</f>
        <v>fatima.farooq32</v>
      </c>
      <c r="J33" s="1" t="str">
        <v>school.edu</v>
      </c>
      <c r="K33" s="4" t="s">
        <v>157</v>
      </c>
      <c r="L33" s="1" t="s">
        <v>62</v>
      </c>
      <c r="M33">
        <v>9</v>
      </c>
      <c r="N33" s="4" t="s">
        <v>25</v>
      </c>
      <c r="O33" t="str">
        <f t="shared" si="2"/>
        <v>fatima</v>
      </c>
      <c r="P33" t="str">
        <f t="shared" si="3"/>
        <v>farooq32</v>
      </c>
      <c r="Q33" t="str">
        <f t="shared" si="4"/>
        <v>fatima farooq32</v>
      </c>
      <c r="R33">
        <v>32</v>
      </c>
      <c r="S33">
        <f t="shared" si="5"/>
        <v>2</v>
      </c>
      <c r="T33">
        <f t="shared" si="6"/>
        <v>2</v>
      </c>
    </row>
    <row r="34" spans="1:20" x14ac:dyDescent="0.35">
      <c r="A34" s="1" t="s">
        <v>158</v>
      </c>
      <c r="B34" s="1" t="s">
        <v>41</v>
      </c>
      <c r="C34" s="1" t="s">
        <v>87</v>
      </c>
      <c r="D34" s="1" t="str">
        <f t="shared" si="0"/>
        <v>Zain Raza</v>
      </c>
      <c r="E34" s="1" t="str">
        <f t="shared" si="1"/>
        <v>ZainRaza</v>
      </c>
      <c r="F34" s="1" t="s">
        <v>159</v>
      </c>
      <c r="G34" s="1" t="s">
        <v>160</v>
      </c>
      <c r="H34" s="1" t="str">
        <f>SUBSTITUTE(G34,"edu","edu")</f>
        <v>zain.raza33@school.edu</v>
      </c>
      <c r="I34" s="1" t="str" cm="1">
        <f t="array" ref="I34:J34">_xlfn.TEXTSPLIT(G34,"@")</f>
        <v>zain.raza33</v>
      </c>
      <c r="J34" s="1" t="str">
        <v>school.edu</v>
      </c>
      <c r="K34" s="4" t="s">
        <v>161</v>
      </c>
      <c r="L34" s="1" t="s">
        <v>62</v>
      </c>
      <c r="M34">
        <v>9</v>
      </c>
      <c r="N34" s="4" t="s">
        <v>14</v>
      </c>
      <c r="O34" t="str">
        <f t="shared" si="2"/>
        <v>zain</v>
      </c>
      <c r="P34" t="str">
        <f t="shared" si="3"/>
        <v>raza33</v>
      </c>
      <c r="Q34" t="str">
        <f t="shared" si="4"/>
        <v>zain raza33</v>
      </c>
      <c r="R34">
        <v>33</v>
      </c>
      <c r="S34">
        <f t="shared" si="5"/>
        <v>2</v>
      </c>
      <c r="T34">
        <f t="shared" si="6"/>
        <v>2</v>
      </c>
    </row>
    <row r="35" spans="1:20" x14ac:dyDescent="0.35">
      <c r="A35" s="1" t="s">
        <v>162</v>
      </c>
      <c r="B35" s="1" t="s">
        <v>148</v>
      </c>
      <c r="C35" s="1" t="s">
        <v>87</v>
      </c>
      <c r="D35" s="1" t="str">
        <f t="shared" si="0"/>
        <v>Ali Raza</v>
      </c>
      <c r="E35" s="1" t="str">
        <f t="shared" si="1"/>
        <v>AliRaza</v>
      </c>
      <c r="F35" s="1" t="s">
        <v>88</v>
      </c>
      <c r="G35" s="1" t="s">
        <v>163</v>
      </c>
      <c r="H35" s="1" t="str">
        <f>SUBSTITUTE(G35,"edu","edu")</f>
        <v>ali.raza34@school.edu</v>
      </c>
      <c r="I35" s="1" t="str" cm="1">
        <f t="array" ref="I35:J35">_xlfn.TEXTSPLIT(G35,"@")</f>
        <v>ali.raza34</v>
      </c>
      <c r="J35" s="1" t="str">
        <v>school.edu</v>
      </c>
      <c r="K35" s="4" t="s">
        <v>164</v>
      </c>
      <c r="L35" s="1" t="s">
        <v>32</v>
      </c>
      <c r="M35">
        <v>11</v>
      </c>
      <c r="N35" s="4" t="s">
        <v>25</v>
      </c>
      <c r="O35" t="str">
        <f t="shared" si="2"/>
        <v>ali</v>
      </c>
      <c r="P35" t="str">
        <f t="shared" si="3"/>
        <v>raza34</v>
      </c>
      <c r="Q35" t="str">
        <f t="shared" si="4"/>
        <v>ali raza34</v>
      </c>
      <c r="R35">
        <v>34</v>
      </c>
      <c r="S35">
        <f t="shared" si="5"/>
        <v>1</v>
      </c>
      <c r="T35">
        <f t="shared" si="6"/>
        <v>1</v>
      </c>
    </row>
    <row r="36" spans="1:20" x14ac:dyDescent="0.35">
      <c r="A36" s="1" t="s">
        <v>165</v>
      </c>
      <c r="B36" s="1" t="s">
        <v>148</v>
      </c>
      <c r="C36" s="1" t="s">
        <v>87</v>
      </c>
      <c r="D36" s="1" t="str">
        <f t="shared" si="0"/>
        <v>Ali Raza</v>
      </c>
      <c r="E36" s="1" t="str">
        <f t="shared" si="1"/>
        <v>AliRaza</v>
      </c>
      <c r="F36" s="1" t="s">
        <v>88</v>
      </c>
      <c r="G36" s="1" t="s">
        <v>166</v>
      </c>
      <c r="H36" s="1" t="str">
        <f>SUBSTITUTE(G36,"edu","edu")</f>
        <v>ali.raza35@school.edu</v>
      </c>
      <c r="I36" s="1" t="str" cm="1">
        <f t="array" ref="I36:J36">_xlfn.TEXTSPLIT(G36,"@")</f>
        <v>ali.raza35</v>
      </c>
      <c r="J36" s="1" t="str">
        <v>school.edu</v>
      </c>
      <c r="K36" s="4" t="s">
        <v>167</v>
      </c>
      <c r="L36" s="1" t="s">
        <v>19</v>
      </c>
      <c r="M36">
        <v>10</v>
      </c>
      <c r="N36" s="4" t="s">
        <v>25</v>
      </c>
      <c r="O36" t="str">
        <f t="shared" si="2"/>
        <v>ali</v>
      </c>
      <c r="P36" t="str">
        <f t="shared" si="3"/>
        <v>raza35</v>
      </c>
      <c r="Q36" t="str">
        <f t="shared" si="4"/>
        <v>ali raza35</v>
      </c>
      <c r="R36">
        <v>35</v>
      </c>
      <c r="S36">
        <f t="shared" si="5"/>
        <v>1</v>
      </c>
      <c r="T36">
        <f t="shared" si="6"/>
        <v>1</v>
      </c>
    </row>
    <row r="37" spans="1:20" x14ac:dyDescent="0.35">
      <c r="A37" s="1" t="s">
        <v>168</v>
      </c>
      <c r="B37" s="1" t="s">
        <v>58</v>
      </c>
      <c r="C37" s="1" t="s">
        <v>9</v>
      </c>
      <c r="D37" s="1" t="str">
        <f t="shared" si="0"/>
        <v>Hira Ahmed</v>
      </c>
      <c r="E37" s="1" t="str">
        <f t="shared" si="1"/>
        <v>HiraAhmed</v>
      </c>
      <c r="F37" s="1" t="s">
        <v>102</v>
      </c>
      <c r="G37" s="1" t="s">
        <v>169</v>
      </c>
      <c r="H37" s="1" t="str">
        <f>SUBSTITUTE(G37,"edu","edu")</f>
        <v>hira.ahmed36@school.edu</v>
      </c>
      <c r="I37" s="1" t="str" cm="1">
        <f t="array" ref="I37:J37">_xlfn.TEXTSPLIT(G37,"@")</f>
        <v>hira.ahmed36</v>
      </c>
      <c r="J37" s="1" t="str">
        <v>school.edu</v>
      </c>
      <c r="K37" s="4" t="s">
        <v>170</v>
      </c>
      <c r="L37" s="1" t="s">
        <v>13</v>
      </c>
      <c r="M37">
        <v>9</v>
      </c>
      <c r="N37" s="4" t="s">
        <v>25</v>
      </c>
      <c r="O37" t="str">
        <f t="shared" si="2"/>
        <v>hira</v>
      </c>
      <c r="P37" t="str">
        <f t="shared" si="3"/>
        <v>ahmed36</v>
      </c>
      <c r="Q37" t="str">
        <f t="shared" si="4"/>
        <v>hira ahmed36</v>
      </c>
      <c r="R37">
        <v>36</v>
      </c>
      <c r="S37">
        <f t="shared" si="5"/>
        <v>4</v>
      </c>
      <c r="T37">
        <f t="shared" si="6"/>
        <v>4</v>
      </c>
    </row>
    <row r="38" spans="1:20" x14ac:dyDescent="0.35">
      <c r="A38" s="1" t="s">
        <v>171</v>
      </c>
      <c r="B38" s="1" t="s">
        <v>47</v>
      </c>
      <c r="C38" s="1" t="s">
        <v>115</v>
      </c>
      <c r="D38" s="1" t="str">
        <f t="shared" si="0"/>
        <v>Bilal Malik</v>
      </c>
      <c r="E38" s="1" t="str">
        <f t="shared" si="1"/>
        <v>BilalMalik</v>
      </c>
      <c r="F38" s="1" t="s">
        <v>172</v>
      </c>
      <c r="G38" s="1" t="s">
        <v>173</v>
      </c>
      <c r="H38" s="1" t="str">
        <f>SUBSTITUTE(G38,"edu","edu")</f>
        <v>bilal.malik37@school.edu</v>
      </c>
      <c r="I38" s="1" t="str" cm="1">
        <f t="array" ref="I38:J38">_xlfn.TEXTSPLIT(G38,"@")</f>
        <v>bilal.malik37</v>
      </c>
      <c r="J38" s="1" t="str">
        <v>school.edu</v>
      </c>
      <c r="K38" s="4" t="s">
        <v>174</v>
      </c>
      <c r="L38" s="1" t="s">
        <v>13</v>
      </c>
      <c r="M38">
        <v>10</v>
      </c>
      <c r="N38" s="4" t="s">
        <v>25</v>
      </c>
      <c r="O38" t="str">
        <f t="shared" si="2"/>
        <v>bilal</v>
      </c>
      <c r="P38" t="str">
        <f t="shared" si="3"/>
        <v>malik37</v>
      </c>
      <c r="Q38" t="str">
        <f t="shared" si="4"/>
        <v>bilal malik37</v>
      </c>
      <c r="R38">
        <v>37</v>
      </c>
      <c r="S38">
        <f t="shared" si="5"/>
        <v>4</v>
      </c>
      <c r="T38">
        <f t="shared" si="6"/>
        <v>4</v>
      </c>
    </row>
    <row r="39" spans="1:20" x14ac:dyDescent="0.35">
      <c r="A39" s="1" t="s">
        <v>175</v>
      </c>
      <c r="B39" s="1" t="s">
        <v>47</v>
      </c>
      <c r="C39" s="1" t="s">
        <v>21</v>
      </c>
      <c r="D39" s="1" t="str">
        <f t="shared" si="0"/>
        <v>Bilal Iqbal</v>
      </c>
      <c r="E39" s="1" t="str">
        <f t="shared" si="1"/>
        <v>BilalIqbal</v>
      </c>
      <c r="F39" s="1" t="s">
        <v>176</v>
      </c>
      <c r="G39" s="1" t="s">
        <v>177</v>
      </c>
      <c r="H39" s="1" t="str">
        <f>SUBSTITUTE(G39,"edu","edu")</f>
        <v>bilal.iqbal38@school.edu</v>
      </c>
      <c r="I39" s="1" t="str" cm="1">
        <f t="array" ref="I39:J39">_xlfn.TEXTSPLIT(G39,"@")</f>
        <v>bilal.iqbal38</v>
      </c>
      <c r="J39" s="1" t="str">
        <v>school.edu</v>
      </c>
      <c r="K39" s="4" t="s">
        <v>178</v>
      </c>
      <c r="L39" s="1" t="s">
        <v>32</v>
      </c>
      <c r="M39">
        <v>9</v>
      </c>
      <c r="N39" s="4" t="s">
        <v>14</v>
      </c>
      <c r="O39" t="str">
        <f t="shared" si="2"/>
        <v>bilal</v>
      </c>
      <c r="P39" t="str">
        <f t="shared" si="3"/>
        <v>iqbal38</v>
      </c>
      <c r="Q39" t="str">
        <f t="shared" si="4"/>
        <v>bilal iqbal38</v>
      </c>
      <c r="R39">
        <v>38</v>
      </c>
      <c r="S39">
        <f t="shared" si="5"/>
        <v>4</v>
      </c>
      <c r="T39">
        <f t="shared" si="6"/>
        <v>4</v>
      </c>
    </row>
    <row r="40" spans="1:20" x14ac:dyDescent="0.35">
      <c r="A40" s="1" t="s">
        <v>179</v>
      </c>
      <c r="B40" s="1" t="s">
        <v>74</v>
      </c>
      <c r="C40" s="1" t="s">
        <v>42</v>
      </c>
      <c r="D40" s="1" t="str">
        <f t="shared" si="0"/>
        <v>Fatima Sheikh</v>
      </c>
      <c r="E40" s="1" t="str">
        <f t="shared" si="1"/>
        <v>FatimaSheikh</v>
      </c>
      <c r="F40" s="1" t="s">
        <v>48</v>
      </c>
      <c r="G40" s="1" t="s">
        <v>180</v>
      </c>
      <c r="H40" s="1" t="str">
        <f>SUBSTITUTE(G40,"edu","edu")</f>
        <v>fatima.sheikh39@school.edu</v>
      </c>
      <c r="I40" s="1" t="str" cm="1">
        <f t="array" ref="I40:J40">_xlfn.TEXTSPLIT(G40,"@")</f>
        <v>fatima.sheikh39</v>
      </c>
      <c r="J40" s="1" t="str">
        <v>school.edu</v>
      </c>
      <c r="K40" s="4" t="s">
        <v>181</v>
      </c>
      <c r="L40" s="1" t="s">
        <v>62</v>
      </c>
      <c r="M40">
        <v>10</v>
      </c>
      <c r="N40" s="4" t="s">
        <v>14</v>
      </c>
      <c r="O40" t="str">
        <f t="shared" si="2"/>
        <v>fatima</v>
      </c>
      <c r="P40" t="str">
        <f t="shared" si="3"/>
        <v>sheikh39</v>
      </c>
      <c r="Q40" t="str">
        <f t="shared" si="4"/>
        <v>fatima sheikh39</v>
      </c>
      <c r="R40">
        <v>39</v>
      </c>
      <c r="S40">
        <f t="shared" si="5"/>
        <v>2</v>
      </c>
      <c r="T40">
        <f t="shared" si="6"/>
        <v>2</v>
      </c>
    </row>
    <row r="41" spans="1:20" x14ac:dyDescent="0.35">
      <c r="A41" s="1" t="s">
        <v>182</v>
      </c>
      <c r="B41" s="1" t="s">
        <v>58</v>
      </c>
      <c r="C41" s="1" t="s">
        <v>21</v>
      </c>
      <c r="D41" s="1" t="str">
        <f t="shared" si="0"/>
        <v>Hira Iqbal</v>
      </c>
      <c r="E41" s="1" t="str">
        <f t="shared" si="1"/>
        <v>HiraIqbal</v>
      </c>
      <c r="F41" s="1" t="s">
        <v>127</v>
      </c>
      <c r="G41" s="1" t="s">
        <v>183</v>
      </c>
      <c r="H41" s="1" t="str">
        <f>SUBSTITUTE(G41,"edu","edu")</f>
        <v>hira.iqbal40@school.edu</v>
      </c>
      <c r="I41" s="1" t="str" cm="1">
        <f t="array" ref="I41:J41">_xlfn.TEXTSPLIT(G41,"@")</f>
        <v>hira.iqbal40</v>
      </c>
      <c r="J41" s="1" t="str">
        <v>school.edu</v>
      </c>
      <c r="K41" s="4" t="s">
        <v>184</v>
      </c>
      <c r="L41" s="1" t="s">
        <v>39</v>
      </c>
      <c r="M41">
        <v>9</v>
      </c>
      <c r="N41" s="4" t="s">
        <v>25</v>
      </c>
      <c r="O41" t="str">
        <f t="shared" si="2"/>
        <v>hira</v>
      </c>
      <c r="P41" t="str">
        <f t="shared" si="3"/>
        <v>iqbal40</v>
      </c>
      <c r="Q41" t="str">
        <f t="shared" si="4"/>
        <v>hira iqbal40</v>
      </c>
      <c r="R41">
        <v>40</v>
      </c>
      <c r="S41">
        <f t="shared" si="5"/>
        <v>4</v>
      </c>
      <c r="T41">
        <f t="shared" si="6"/>
        <v>4</v>
      </c>
    </row>
    <row r="42" spans="1:20" x14ac:dyDescent="0.35">
      <c r="A42" s="1" t="s">
        <v>185</v>
      </c>
      <c r="B42" s="1" t="s">
        <v>68</v>
      </c>
      <c r="C42" s="1" t="s">
        <v>143</v>
      </c>
      <c r="D42" s="1" t="str">
        <f t="shared" si="0"/>
        <v>Sara Farooq</v>
      </c>
      <c r="E42" s="1" t="str">
        <f t="shared" si="1"/>
        <v>SaraFarooq</v>
      </c>
      <c r="F42" s="1" t="s">
        <v>186</v>
      </c>
      <c r="G42" s="1" t="s">
        <v>187</v>
      </c>
      <c r="H42" s="1" t="str">
        <f>SUBSTITUTE(G42,"edu","edu")</f>
        <v>sara.farooq41@school.edu</v>
      </c>
      <c r="I42" s="1" t="str" cm="1">
        <f t="array" ref="I42:J42">_xlfn.TEXTSPLIT(G42,"@")</f>
        <v>sara.farooq41</v>
      </c>
      <c r="J42" s="1" t="str">
        <v>school.edu</v>
      </c>
      <c r="K42" s="4" t="s">
        <v>188</v>
      </c>
      <c r="L42" s="1" t="s">
        <v>32</v>
      </c>
      <c r="M42">
        <v>9</v>
      </c>
      <c r="N42" s="4" t="s">
        <v>25</v>
      </c>
      <c r="O42" t="str">
        <f t="shared" si="2"/>
        <v>sara</v>
      </c>
      <c r="P42" t="str">
        <f t="shared" si="3"/>
        <v>farooq41</v>
      </c>
      <c r="Q42" t="str">
        <f t="shared" si="4"/>
        <v>sara farooq41</v>
      </c>
      <c r="R42">
        <v>41</v>
      </c>
      <c r="S42">
        <f t="shared" si="5"/>
        <v>2</v>
      </c>
      <c r="T42">
        <f t="shared" si="6"/>
        <v>2</v>
      </c>
    </row>
    <row r="43" spans="1:20" x14ac:dyDescent="0.35">
      <c r="A43" s="1" t="s">
        <v>189</v>
      </c>
      <c r="B43" s="1" t="s">
        <v>52</v>
      </c>
      <c r="C43" s="1" t="s">
        <v>28</v>
      </c>
      <c r="D43" s="1" t="str">
        <f t="shared" si="0"/>
        <v>Usman Siddiqui</v>
      </c>
      <c r="E43" s="1" t="str">
        <f t="shared" si="1"/>
        <v>UsmanSiddiqui</v>
      </c>
      <c r="F43" s="1" t="s">
        <v>190</v>
      </c>
      <c r="G43" s="1" t="s">
        <v>191</v>
      </c>
      <c r="H43" s="1" t="str">
        <f>SUBSTITUTE(G43,"edu","edu")</f>
        <v>usman.siddiqui42@school.edu</v>
      </c>
      <c r="I43" s="1" t="str" cm="1">
        <f t="array" ref="I43:J43">_xlfn.TEXTSPLIT(G43,"@")</f>
        <v>usman.siddiqui42</v>
      </c>
      <c r="J43" s="1" t="str">
        <v>school.edu</v>
      </c>
      <c r="K43" s="4" t="s">
        <v>192</v>
      </c>
      <c r="L43" s="1" t="s">
        <v>62</v>
      </c>
      <c r="M43">
        <v>10</v>
      </c>
      <c r="N43" s="4" t="s">
        <v>25</v>
      </c>
      <c r="O43" t="str">
        <f t="shared" si="2"/>
        <v>usman</v>
      </c>
      <c r="P43" t="str">
        <f t="shared" si="3"/>
        <v>siddiqui42</v>
      </c>
      <c r="Q43" t="str">
        <f t="shared" si="4"/>
        <v>usman siddiqui42</v>
      </c>
      <c r="R43">
        <v>42</v>
      </c>
      <c r="S43">
        <f t="shared" si="5"/>
        <v>4</v>
      </c>
      <c r="T43">
        <f t="shared" si="6"/>
        <v>4</v>
      </c>
    </row>
    <row r="44" spans="1:20" x14ac:dyDescent="0.35">
      <c r="A44" s="1" t="s">
        <v>193</v>
      </c>
      <c r="B44" s="1" t="s">
        <v>58</v>
      </c>
      <c r="C44" s="1" t="s">
        <v>53</v>
      </c>
      <c r="D44" s="1" t="str">
        <f t="shared" si="0"/>
        <v>Hira Chaudhry</v>
      </c>
      <c r="E44" s="1" t="str">
        <f t="shared" si="1"/>
        <v>HiraChaudhry</v>
      </c>
      <c r="F44" s="1" t="s">
        <v>54</v>
      </c>
      <c r="G44" s="1" t="s">
        <v>194</v>
      </c>
      <c r="H44" s="1" t="str">
        <f>SUBSTITUTE(G44,"edu","edu")</f>
        <v>hira.chaudhry43@school.edu</v>
      </c>
      <c r="I44" s="1" t="str" cm="1">
        <f t="array" ref="I44:J44">_xlfn.TEXTSPLIT(G44,"@")</f>
        <v>hira.chaudhry43</v>
      </c>
      <c r="J44" s="1" t="str">
        <v>school.edu</v>
      </c>
      <c r="K44" s="4" t="s">
        <v>195</v>
      </c>
      <c r="L44" s="1" t="s">
        <v>19</v>
      </c>
      <c r="M44">
        <v>10</v>
      </c>
      <c r="N44" s="4" t="s">
        <v>25</v>
      </c>
      <c r="O44" t="str">
        <f t="shared" si="2"/>
        <v>hira</v>
      </c>
      <c r="P44" t="str">
        <f t="shared" si="3"/>
        <v>chaudhry43</v>
      </c>
      <c r="Q44" t="str">
        <f t="shared" si="4"/>
        <v>hira chaudhry43</v>
      </c>
      <c r="R44">
        <v>43</v>
      </c>
      <c r="S44">
        <f t="shared" si="5"/>
        <v>4</v>
      </c>
      <c r="T44">
        <f t="shared" si="6"/>
        <v>4</v>
      </c>
    </row>
    <row r="45" spans="1:20" x14ac:dyDescent="0.35">
      <c r="A45" s="1" t="s">
        <v>196</v>
      </c>
      <c r="B45" s="1" t="s">
        <v>16</v>
      </c>
      <c r="C45" s="1" t="s">
        <v>53</v>
      </c>
      <c r="D45" s="1" t="str">
        <f t="shared" si="0"/>
        <v>Maryam Chaudhry</v>
      </c>
      <c r="E45" s="1" t="str">
        <f t="shared" si="1"/>
        <v>MaryamChaudhry</v>
      </c>
      <c r="F45" s="1" t="s">
        <v>54</v>
      </c>
      <c r="G45" s="1" t="s">
        <v>197</v>
      </c>
      <c r="H45" s="1" t="str">
        <f>SUBSTITUTE(G45,"edu","edu")</f>
        <v>maryam.chaudhry44@school.edu</v>
      </c>
      <c r="I45" s="1" t="str" cm="1">
        <f t="array" ref="I45:J45">_xlfn.TEXTSPLIT(G45,"@")</f>
        <v>maryam.chaudhry44</v>
      </c>
      <c r="J45" s="1" t="str">
        <v>school.edu</v>
      </c>
      <c r="K45" s="4" t="s">
        <v>198</v>
      </c>
      <c r="L45" s="1" t="s">
        <v>62</v>
      </c>
      <c r="M45">
        <v>9</v>
      </c>
      <c r="N45" s="4" t="s">
        <v>14</v>
      </c>
      <c r="O45" t="str">
        <f t="shared" si="2"/>
        <v>maryam</v>
      </c>
      <c r="P45" t="str">
        <f t="shared" si="3"/>
        <v>chaudhry44</v>
      </c>
      <c r="Q45" t="str">
        <f t="shared" si="4"/>
        <v>maryam chaudhry44</v>
      </c>
      <c r="R45">
        <v>44</v>
      </c>
      <c r="S45">
        <f t="shared" si="5"/>
        <v>2</v>
      </c>
      <c r="T45">
        <f t="shared" si="6"/>
        <v>2</v>
      </c>
    </row>
    <row r="46" spans="1:20" x14ac:dyDescent="0.35">
      <c r="A46" s="1" t="s">
        <v>199</v>
      </c>
      <c r="B46" s="1" t="s">
        <v>74</v>
      </c>
      <c r="C46" s="1" t="s">
        <v>21</v>
      </c>
      <c r="D46" s="1" t="str">
        <f t="shared" si="0"/>
        <v>Fatima Iqbal</v>
      </c>
      <c r="E46" s="1" t="str">
        <f t="shared" si="1"/>
        <v>FatimaIqbal</v>
      </c>
      <c r="F46" s="1" t="s">
        <v>200</v>
      </c>
      <c r="G46" s="1" t="s">
        <v>201</v>
      </c>
      <c r="H46" s="1" t="str">
        <f>SUBSTITUTE(G46,"edu","edu")</f>
        <v>fatima.iqbal45@school.edu</v>
      </c>
      <c r="I46" s="1" t="str" cm="1">
        <f t="array" ref="I46:J46">_xlfn.TEXTSPLIT(G46,"@")</f>
        <v>fatima.iqbal45</v>
      </c>
      <c r="J46" s="1" t="str">
        <v>school.edu</v>
      </c>
      <c r="K46" s="4" t="s">
        <v>202</v>
      </c>
      <c r="L46" s="1" t="s">
        <v>19</v>
      </c>
      <c r="M46">
        <v>11</v>
      </c>
      <c r="N46" s="4" t="s">
        <v>25</v>
      </c>
      <c r="O46" t="str">
        <f t="shared" si="2"/>
        <v>fatima</v>
      </c>
      <c r="P46" t="str">
        <f t="shared" si="3"/>
        <v>iqbal45</v>
      </c>
      <c r="Q46" t="str">
        <f t="shared" si="4"/>
        <v>fatima iqbal45</v>
      </c>
      <c r="R46">
        <v>45</v>
      </c>
      <c r="S46">
        <f t="shared" si="5"/>
        <v>2</v>
      </c>
      <c r="T46">
        <f t="shared" si="6"/>
        <v>2</v>
      </c>
    </row>
    <row r="47" spans="1:20" x14ac:dyDescent="0.35">
      <c r="A47" s="1" t="s">
        <v>203</v>
      </c>
      <c r="B47" s="1" t="s">
        <v>52</v>
      </c>
      <c r="C47" s="1" t="s">
        <v>87</v>
      </c>
      <c r="D47" s="1" t="str">
        <f t="shared" si="0"/>
        <v>Usman Raza</v>
      </c>
      <c r="E47" s="1" t="str">
        <f t="shared" si="1"/>
        <v>UsmanRaza</v>
      </c>
      <c r="F47" s="1" t="s">
        <v>204</v>
      </c>
      <c r="G47" s="1" t="s">
        <v>205</v>
      </c>
      <c r="H47" s="1" t="str">
        <f>SUBSTITUTE(G47,"edu","edu")</f>
        <v>usman.raza46@school.edu</v>
      </c>
      <c r="I47" s="1" t="str" cm="1">
        <f t="array" ref="I47:J47">_xlfn.TEXTSPLIT(G47,"@")</f>
        <v>usman.raza46</v>
      </c>
      <c r="J47" s="1" t="str">
        <v>school.edu</v>
      </c>
      <c r="K47" s="4" t="s">
        <v>206</v>
      </c>
      <c r="L47" s="1" t="s">
        <v>19</v>
      </c>
      <c r="M47">
        <v>10</v>
      </c>
      <c r="N47" s="4" t="s">
        <v>25</v>
      </c>
      <c r="O47" t="str">
        <f t="shared" si="2"/>
        <v>usman</v>
      </c>
      <c r="P47" t="str">
        <f t="shared" si="3"/>
        <v>raza46</v>
      </c>
      <c r="Q47" t="str">
        <f t="shared" si="4"/>
        <v>usman raza46</v>
      </c>
      <c r="R47">
        <v>46</v>
      </c>
      <c r="S47">
        <f t="shared" si="5"/>
        <v>4</v>
      </c>
      <c r="T47">
        <f t="shared" si="6"/>
        <v>4</v>
      </c>
    </row>
    <row r="48" spans="1:20" x14ac:dyDescent="0.35">
      <c r="A48" s="1" t="s">
        <v>207</v>
      </c>
      <c r="B48" s="1" t="s">
        <v>58</v>
      </c>
      <c r="C48" s="1" t="s">
        <v>53</v>
      </c>
      <c r="D48" s="1" t="str">
        <f t="shared" si="0"/>
        <v>Hira Chaudhry</v>
      </c>
      <c r="E48" s="1" t="str">
        <f t="shared" si="1"/>
        <v>HiraChaudhry</v>
      </c>
      <c r="F48" s="1" t="s">
        <v>149</v>
      </c>
      <c r="G48" s="1" t="s">
        <v>208</v>
      </c>
      <c r="H48" s="1" t="str">
        <f>SUBSTITUTE(G48,"edu","edu")</f>
        <v>hira.chaudhry47@school.edu</v>
      </c>
      <c r="I48" s="1" t="str" cm="1">
        <f t="array" ref="I48:J48">_xlfn.TEXTSPLIT(G48,"@")</f>
        <v>hira.chaudhry47</v>
      </c>
      <c r="J48" s="1" t="str">
        <v>school.edu</v>
      </c>
      <c r="K48" s="4" t="s">
        <v>209</v>
      </c>
      <c r="L48" s="1" t="s">
        <v>62</v>
      </c>
      <c r="M48">
        <v>10</v>
      </c>
      <c r="N48" s="4" t="s">
        <v>25</v>
      </c>
      <c r="O48" t="str">
        <f t="shared" si="2"/>
        <v>hira</v>
      </c>
      <c r="P48" t="str">
        <f t="shared" si="3"/>
        <v>chaudhry47</v>
      </c>
      <c r="Q48" t="str">
        <f t="shared" si="4"/>
        <v>hira chaudhry47</v>
      </c>
      <c r="R48">
        <v>47</v>
      </c>
      <c r="S48">
        <f t="shared" si="5"/>
        <v>4</v>
      </c>
      <c r="T48">
        <f t="shared" si="6"/>
        <v>4</v>
      </c>
    </row>
    <row r="49" spans="1:20" x14ac:dyDescent="0.35">
      <c r="A49" s="1" t="s">
        <v>210</v>
      </c>
      <c r="B49" s="1" t="s">
        <v>16</v>
      </c>
      <c r="C49" s="1" t="s">
        <v>28</v>
      </c>
      <c r="D49" s="1" t="str">
        <f t="shared" si="0"/>
        <v>Maryam Siddiqui</v>
      </c>
      <c r="E49" s="1" t="str">
        <f t="shared" si="1"/>
        <v>MaryamSiddiqui</v>
      </c>
      <c r="F49" s="1" t="s">
        <v>29</v>
      </c>
      <c r="G49" s="1" t="s">
        <v>211</v>
      </c>
      <c r="H49" s="1" t="str">
        <f>SUBSTITUTE(G49,"edu","edu")</f>
        <v>maryam.siddiqui48@school.edu</v>
      </c>
      <c r="I49" s="1" t="str" cm="1">
        <f t="array" ref="I49:J49">_xlfn.TEXTSPLIT(G49,"@")</f>
        <v>maryam.siddiqui48</v>
      </c>
      <c r="J49" s="1" t="str">
        <v>school.edu</v>
      </c>
      <c r="K49" s="4" t="s">
        <v>212</v>
      </c>
      <c r="L49" s="1" t="s">
        <v>13</v>
      </c>
      <c r="M49">
        <v>9</v>
      </c>
      <c r="N49" s="4" t="s">
        <v>14</v>
      </c>
      <c r="O49" t="str">
        <f t="shared" si="2"/>
        <v>maryam</v>
      </c>
      <c r="P49" t="str">
        <f t="shared" si="3"/>
        <v>siddiqui48</v>
      </c>
      <c r="Q49" t="str">
        <f t="shared" si="4"/>
        <v>maryam siddiqui48</v>
      </c>
      <c r="R49">
        <v>48</v>
      </c>
      <c r="S49">
        <f t="shared" si="5"/>
        <v>2</v>
      </c>
      <c r="T49">
        <f t="shared" si="6"/>
        <v>2</v>
      </c>
    </row>
    <row r="50" spans="1:20" x14ac:dyDescent="0.35">
      <c r="A50" s="1" t="s">
        <v>213</v>
      </c>
      <c r="B50" s="1" t="s">
        <v>135</v>
      </c>
      <c r="C50" s="1" t="s">
        <v>42</v>
      </c>
      <c r="D50" s="1" t="str">
        <f t="shared" si="0"/>
        <v>Hassan Sheikh</v>
      </c>
      <c r="E50" s="1" t="str">
        <f t="shared" si="1"/>
        <v>HassanSheikh</v>
      </c>
      <c r="F50" s="1" t="s">
        <v>43</v>
      </c>
      <c r="G50" s="1" t="s">
        <v>214</v>
      </c>
      <c r="H50" s="1" t="str">
        <f>SUBSTITUTE(G50,"edu","edu")</f>
        <v>hassan.sheikh49@school.edu</v>
      </c>
      <c r="I50" s="1" t="str" cm="1">
        <f t="array" ref="I50:J50">_xlfn.TEXTSPLIT(G50,"@")</f>
        <v>hassan.sheikh49</v>
      </c>
      <c r="J50" s="1" t="str">
        <v>school.edu</v>
      </c>
      <c r="K50" s="4" t="s">
        <v>215</v>
      </c>
      <c r="L50" s="1" t="s">
        <v>32</v>
      </c>
      <c r="M50">
        <v>9</v>
      </c>
      <c r="N50" s="4" t="s">
        <v>14</v>
      </c>
      <c r="O50" t="str">
        <f t="shared" si="2"/>
        <v>hassan</v>
      </c>
      <c r="P50" t="str">
        <f t="shared" si="3"/>
        <v>sheikh49</v>
      </c>
      <c r="Q50" t="str">
        <f t="shared" si="4"/>
        <v>hassan sheikh49</v>
      </c>
      <c r="R50">
        <v>49</v>
      </c>
      <c r="S50">
        <f t="shared" si="5"/>
        <v>2</v>
      </c>
      <c r="T50">
        <f t="shared" si="6"/>
        <v>2</v>
      </c>
    </row>
    <row r="51" spans="1:20" x14ac:dyDescent="0.35">
      <c r="A51" s="1" t="s">
        <v>216</v>
      </c>
      <c r="B51" s="1" t="s">
        <v>47</v>
      </c>
      <c r="C51" s="1" t="s">
        <v>115</v>
      </c>
      <c r="D51" s="1" t="str">
        <f t="shared" si="0"/>
        <v>Bilal Malik</v>
      </c>
      <c r="E51" s="1" t="str">
        <f t="shared" si="1"/>
        <v>BilalMalik</v>
      </c>
      <c r="F51" s="1" t="s">
        <v>172</v>
      </c>
      <c r="G51" s="1" t="s">
        <v>217</v>
      </c>
      <c r="H51" s="1" t="str">
        <f>SUBSTITUTE(G51,"edu","edu")</f>
        <v>bilal.malik50@school.edu</v>
      </c>
      <c r="I51" s="1" t="str" cm="1">
        <f t="array" ref="I51:J51">_xlfn.TEXTSPLIT(G51,"@")</f>
        <v>bilal.malik50</v>
      </c>
      <c r="J51" s="1" t="str">
        <v>school.edu</v>
      </c>
      <c r="K51" s="4" t="s">
        <v>218</v>
      </c>
      <c r="L51" s="1" t="s">
        <v>19</v>
      </c>
      <c r="M51">
        <v>9</v>
      </c>
      <c r="N51" s="4" t="s">
        <v>25</v>
      </c>
      <c r="O51" t="str">
        <f t="shared" si="2"/>
        <v>bilal</v>
      </c>
      <c r="P51" t="str">
        <f t="shared" si="3"/>
        <v>malik50</v>
      </c>
      <c r="Q51" t="str">
        <f t="shared" si="4"/>
        <v>bilal malik50</v>
      </c>
      <c r="R51">
        <v>50</v>
      </c>
      <c r="S51">
        <f t="shared" si="5"/>
        <v>4</v>
      </c>
      <c r="T51">
        <f t="shared" si="6"/>
        <v>4</v>
      </c>
    </row>
    <row r="52" spans="1:20" x14ac:dyDescent="0.35">
      <c r="A52" s="1" t="s">
        <v>219</v>
      </c>
      <c r="B52" s="1" t="s">
        <v>52</v>
      </c>
      <c r="C52" s="1" t="s">
        <v>143</v>
      </c>
      <c r="D52" s="1" t="str">
        <f t="shared" si="0"/>
        <v>Usman Farooq</v>
      </c>
      <c r="E52" s="1" t="str">
        <f t="shared" si="1"/>
        <v>UsmanFarooq</v>
      </c>
      <c r="F52" s="1" t="s">
        <v>144</v>
      </c>
      <c r="G52" s="1" t="s">
        <v>220</v>
      </c>
      <c r="H52" s="1" t="str">
        <f>SUBSTITUTE(G52,"edu","edu")</f>
        <v>usman.farooq51@school.edu</v>
      </c>
      <c r="I52" s="1" t="str" cm="1">
        <f t="array" ref="I52:J52">_xlfn.TEXTSPLIT(G52,"@")</f>
        <v>usman.farooq51</v>
      </c>
      <c r="J52" s="1" t="str">
        <v>school.edu</v>
      </c>
      <c r="K52" s="4" t="s">
        <v>221</v>
      </c>
      <c r="L52" s="1" t="s">
        <v>13</v>
      </c>
      <c r="M52">
        <v>10</v>
      </c>
      <c r="N52" s="4" t="s">
        <v>14</v>
      </c>
      <c r="O52" t="str">
        <f t="shared" si="2"/>
        <v>usman</v>
      </c>
      <c r="P52" t="str">
        <f t="shared" si="3"/>
        <v>farooq51</v>
      </c>
      <c r="Q52" t="str">
        <f t="shared" si="4"/>
        <v>usman farooq51</v>
      </c>
      <c r="R52">
        <v>51</v>
      </c>
      <c r="S52">
        <f t="shared" si="5"/>
        <v>4</v>
      </c>
      <c r="T52">
        <f t="shared" si="6"/>
        <v>4</v>
      </c>
    </row>
    <row r="53" spans="1:20" x14ac:dyDescent="0.35">
      <c r="A53" s="1" t="s">
        <v>222</v>
      </c>
      <c r="B53" s="1" t="s">
        <v>27</v>
      </c>
      <c r="C53" s="1" t="s">
        <v>28</v>
      </c>
      <c r="D53" s="1" t="str">
        <f t="shared" si="0"/>
        <v>Noor Siddiqui</v>
      </c>
      <c r="E53" s="1" t="str">
        <f t="shared" si="1"/>
        <v>NoorSiddiqui</v>
      </c>
      <c r="F53" s="1" t="s">
        <v>190</v>
      </c>
      <c r="G53" s="1" t="s">
        <v>223</v>
      </c>
      <c r="H53" s="1" t="str">
        <f>SUBSTITUTE(G53,"edu","edu")</f>
        <v>noor.siddiqui52@school.edu</v>
      </c>
      <c r="I53" s="1" t="str" cm="1">
        <f t="array" ref="I53:J53">_xlfn.TEXTSPLIT(G53,"@")</f>
        <v>noor.siddiqui52</v>
      </c>
      <c r="J53" s="1" t="str">
        <v>school.edu</v>
      </c>
      <c r="K53" s="4" t="s">
        <v>224</v>
      </c>
      <c r="L53" s="1" t="s">
        <v>39</v>
      </c>
      <c r="M53">
        <v>11</v>
      </c>
      <c r="N53" s="4" t="s">
        <v>25</v>
      </c>
      <c r="O53" t="str">
        <f t="shared" si="2"/>
        <v>noor</v>
      </c>
      <c r="P53" t="str">
        <f t="shared" si="3"/>
        <v>siddiqui52</v>
      </c>
      <c r="Q53" t="str">
        <f t="shared" si="4"/>
        <v>noor siddiqui52</v>
      </c>
      <c r="R53">
        <v>52</v>
      </c>
      <c r="S53" t="e">
        <f t="shared" si="5"/>
        <v>#VALUE!</v>
      </c>
      <c r="T53" t="e">
        <f t="shared" si="6"/>
        <v>#VALUE!</v>
      </c>
    </row>
    <row r="54" spans="1:20" x14ac:dyDescent="0.35">
      <c r="A54" s="1" t="s">
        <v>225</v>
      </c>
      <c r="B54" s="1" t="s">
        <v>47</v>
      </c>
      <c r="C54" s="1" t="s">
        <v>143</v>
      </c>
      <c r="D54" s="1" t="str">
        <f t="shared" si="0"/>
        <v>Bilal Farooq</v>
      </c>
      <c r="E54" s="1" t="str">
        <f t="shared" si="1"/>
        <v>BilalFarooq</v>
      </c>
      <c r="F54" s="1" t="s">
        <v>226</v>
      </c>
      <c r="G54" s="1" t="s">
        <v>227</v>
      </c>
      <c r="H54" s="1" t="str">
        <f>SUBSTITUTE(G54,"edu","edu")</f>
        <v>bilal.farooq53@school.edu</v>
      </c>
      <c r="I54" s="1" t="str" cm="1">
        <f t="array" ref="I54:J54">_xlfn.TEXTSPLIT(G54,"@")</f>
        <v>bilal.farooq53</v>
      </c>
      <c r="J54" s="1" t="str">
        <v>school.edu</v>
      </c>
      <c r="K54" s="4" t="s">
        <v>228</v>
      </c>
      <c r="L54" s="1" t="s">
        <v>39</v>
      </c>
      <c r="M54">
        <v>9</v>
      </c>
      <c r="N54" s="4" t="s">
        <v>14</v>
      </c>
      <c r="O54" t="str">
        <f t="shared" si="2"/>
        <v>bilal</v>
      </c>
      <c r="P54" t="str">
        <f t="shared" si="3"/>
        <v>farooq53</v>
      </c>
      <c r="Q54" t="str">
        <f t="shared" si="4"/>
        <v>bilal farooq53</v>
      </c>
      <c r="R54">
        <v>53</v>
      </c>
      <c r="S54">
        <f t="shared" si="5"/>
        <v>4</v>
      </c>
      <c r="T54">
        <f t="shared" si="6"/>
        <v>4</v>
      </c>
    </row>
    <row r="55" spans="1:20" x14ac:dyDescent="0.35">
      <c r="A55" s="1" t="s">
        <v>229</v>
      </c>
      <c r="B55" s="1" t="s">
        <v>114</v>
      </c>
      <c r="C55" s="1" t="s">
        <v>69</v>
      </c>
      <c r="D55" s="1" t="str">
        <f t="shared" si="0"/>
        <v>Ayesha Khan</v>
      </c>
      <c r="E55" s="1" t="str">
        <f t="shared" si="1"/>
        <v>AyeshaKhan</v>
      </c>
      <c r="F55" s="1" t="s">
        <v>136</v>
      </c>
      <c r="G55" s="1" t="s">
        <v>230</v>
      </c>
      <c r="H55" s="1" t="str">
        <f>SUBSTITUTE(G55,"edu","edu")</f>
        <v>ayesha.khan54@school.edu</v>
      </c>
      <c r="I55" s="1" t="str" cm="1">
        <f t="array" ref="I55:J55">_xlfn.TEXTSPLIT(G55,"@")</f>
        <v>ayesha.khan54</v>
      </c>
      <c r="J55" s="1" t="str">
        <v>school.edu</v>
      </c>
      <c r="K55" s="4" t="s">
        <v>231</v>
      </c>
      <c r="L55" s="1" t="s">
        <v>62</v>
      </c>
      <c r="M55">
        <v>10</v>
      </c>
      <c r="N55" s="4" t="s">
        <v>25</v>
      </c>
      <c r="O55" t="str">
        <f t="shared" si="2"/>
        <v>ayesha</v>
      </c>
      <c r="P55" t="str">
        <f t="shared" si="3"/>
        <v>khan54</v>
      </c>
      <c r="Q55" t="str">
        <f t="shared" si="4"/>
        <v>ayesha khan54</v>
      </c>
      <c r="R55">
        <v>54</v>
      </c>
      <c r="S55">
        <f t="shared" si="5"/>
        <v>1</v>
      </c>
      <c r="T55">
        <f t="shared" si="6"/>
        <v>1</v>
      </c>
    </row>
    <row r="56" spans="1:20" x14ac:dyDescent="0.35">
      <c r="A56" s="1" t="s">
        <v>232</v>
      </c>
      <c r="B56" s="1" t="s">
        <v>233</v>
      </c>
      <c r="C56" s="1" t="s">
        <v>69</v>
      </c>
      <c r="D56" s="1" t="str">
        <f t="shared" si="0"/>
        <v>Zoya Khan</v>
      </c>
      <c r="E56" s="1" t="str">
        <f t="shared" si="1"/>
        <v>ZoyaKhan</v>
      </c>
      <c r="F56" s="1" t="s">
        <v>110</v>
      </c>
      <c r="G56" s="1" t="s">
        <v>234</v>
      </c>
      <c r="H56" s="1" t="str">
        <f>SUBSTITUTE(G56,"edu","edu")</f>
        <v>zoya.khan55@school.edu</v>
      </c>
      <c r="I56" s="1" t="str" cm="1">
        <f t="array" ref="I56:J56">_xlfn.TEXTSPLIT(G56,"@")</f>
        <v>zoya.khan55</v>
      </c>
      <c r="J56" s="1" t="str">
        <v>school.edu</v>
      </c>
      <c r="K56" s="4" t="s">
        <v>235</v>
      </c>
      <c r="L56" s="1" t="s">
        <v>13</v>
      </c>
      <c r="M56">
        <v>9</v>
      </c>
      <c r="N56" s="4" t="s">
        <v>14</v>
      </c>
      <c r="O56" t="str">
        <f t="shared" si="2"/>
        <v>zoya</v>
      </c>
      <c r="P56" t="str">
        <f t="shared" si="3"/>
        <v>khan55</v>
      </c>
      <c r="Q56" t="str">
        <f t="shared" si="4"/>
        <v>zoya khan55</v>
      </c>
      <c r="R56">
        <v>55</v>
      </c>
      <c r="S56">
        <f t="shared" si="5"/>
        <v>4</v>
      </c>
      <c r="T56">
        <f t="shared" si="6"/>
        <v>4</v>
      </c>
    </row>
    <row r="57" spans="1:20" x14ac:dyDescent="0.35">
      <c r="A57" s="1" t="s">
        <v>236</v>
      </c>
      <c r="B57" s="1" t="s">
        <v>47</v>
      </c>
      <c r="C57" s="1" t="s">
        <v>143</v>
      </c>
      <c r="D57" s="1" t="str">
        <f t="shared" si="0"/>
        <v>Bilal Farooq</v>
      </c>
      <c r="E57" s="1" t="str">
        <f t="shared" si="1"/>
        <v>BilalFarooq</v>
      </c>
      <c r="F57" s="1" t="s">
        <v>186</v>
      </c>
      <c r="G57" s="1" t="s">
        <v>237</v>
      </c>
      <c r="H57" s="1" t="str">
        <f>SUBSTITUTE(G57,"edu","edu")</f>
        <v>bilal.farooq56@school.edu</v>
      </c>
      <c r="I57" s="1" t="str" cm="1">
        <f t="array" ref="I57:J57">_xlfn.TEXTSPLIT(G57,"@")</f>
        <v>bilal.farooq56</v>
      </c>
      <c r="J57" s="1" t="str">
        <v>school.edu</v>
      </c>
      <c r="K57" s="4" t="s">
        <v>238</v>
      </c>
      <c r="L57" s="1" t="s">
        <v>19</v>
      </c>
      <c r="M57">
        <v>11</v>
      </c>
      <c r="N57" s="4" t="s">
        <v>25</v>
      </c>
      <c r="O57" t="str">
        <f t="shared" si="2"/>
        <v>bilal</v>
      </c>
      <c r="P57" t="str">
        <f t="shared" si="3"/>
        <v>farooq56</v>
      </c>
      <c r="Q57" t="str">
        <f t="shared" si="4"/>
        <v>bilal farooq56</v>
      </c>
      <c r="R57">
        <v>56</v>
      </c>
      <c r="S57">
        <f t="shared" si="5"/>
        <v>4</v>
      </c>
      <c r="T57">
        <f t="shared" si="6"/>
        <v>4</v>
      </c>
    </row>
    <row r="58" spans="1:20" x14ac:dyDescent="0.35">
      <c r="A58" s="1" t="s">
        <v>239</v>
      </c>
      <c r="B58" s="1" t="s">
        <v>34</v>
      </c>
      <c r="C58" s="1" t="s">
        <v>87</v>
      </c>
      <c r="D58" s="1" t="str">
        <f t="shared" si="0"/>
        <v>Abdullah Raza</v>
      </c>
      <c r="E58" s="1" t="str">
        <f t="shared" si="1"/>
        <v>AbdullahRaza</v>
      </c>
      <c r="F58" s="1" t="s">
        <v>240</v>
      </c>
      <c r="G58" s="1" t="s">
        <v>241</v>
      </c>
      <c r="H58" s="1" t="str">
        <f>SUBSTITUTE(G58,"edu","edu")</f>
        <v>abdullah.raza57@school.edu</v>
      </c>
      <c r="I58" s="1" t="str" cm="1">
        <f t="array" ref="I58:J58">_xlfn.TEXTSPLIT(G58,"@")</f>
        <v>abdullah.raza57</v>
      </c>
      <c r="J58" s="1" t="str">
        <v>school.edu</v>
      </c>
      <c r="K58" s="4" t="s">
        <v>242</v>
      </c>
      <c r="L58" s="1" t="s">
        <v>39</v>
      </c>
      <c r="M58">
        <v>9</v>
      </c>
      <c r="N58" s="4" t="s">
        <v>14</v>
      </c>
      <c r="O58" t="str">
        <f t="shared" si="2"/>
        <v>abdullah</v>
      </c>
      <c r="P58" t="str">
        <f t="shared" si="3"/>
        <v>raza57</v>
      </c>
      <c r="Q58" t="str">
        <f t="shared" si="4"/>
        <v>abdullah raza57</v>
      </c>
      <c r="R58">
        <v>57</v>
      </c>
      <c r="S58">
        <f t="shared" si="5"/>
        <v>1</v>
      </c>
      <c r="T58">
        <f t="shared" si="6"/>
        <v>1</v>
      </c>
    </row>
    <row r="59" spans="1:20" x14ac:dyDescent="0.35">
      <c r="A59" s="1" t="s">
        <v>243</v>
      </c>
      <c r="B59" s="1" t="s">
        <v>52</v>
      </c>
      <c r="C59" s="1" t="s">
        <v>87</v>
      </c>
      <c r="D59" s="1" t="str">
        <f t="shared" si="0"/>
        <v>Usman Raza</v>
      </c>
      <c r="E59" s="1" t="str">
        <f t="shared" si="1"/>
        <v>UsmanRaza</v>
      </c>
      <c r="F59" s="1" t="s">
        <v>244</v>
      </c>
      <c r="G59" s="1" t="s">
        <v>245</v>
      </c>
      <c r="H59" s="1" t="str">
        <f>SUBSTITUTE(G59,"edu","edu")</f>
        <v>usman.raza58@school.edu</v>
      </c>
      <c r="I59" s="1" t="str" cm="1">
        <f t="array" ref="I59:J59">_xlfn.TEXTSPLIT(G59,"@")</f>
        <v>usman.raza58</v>
      </c>
      <c r="J59" s="1" t="str">
        <v>school.edu</v>
      </c>
      <c r="K59" s="4" t="s">
        <v>246</v>
      </c>
      <c r="L59" s="1" t="s">
        <v>39</v>
      </c>
      <c r="M59">
        <v>9</v>
      </c>
      <c r="N59" s="4" t="s">
        <v>25</v>
      </c>
      <c r="O59" t="str">
        <f t="shared" si="2"/>
        <v>usman</v>
      </c>
      <c r="P59" t="str">
        <f t="shared" si="3"/>
        <v>raza58</v>
      </c>
      <c r="Q59" t="str">
        <f t="shared" si="4"/>
        <v>usman raza58</v>
      </c>
      <c r="R59">
        <v>58</v>
      </c>
      <c r="S59">
        <f t="shared" si="5"/>
        <v>4</v>
      </c>
      <c r="T59">
        <f t="shared" si="6"/>
        <v>4</v>
      </c>
    </row>
    <row r="60" spans="1:20" x14ac:dyDescent="0.35">
      <c r="A60" s="1" t="s">
        <v>247</v>
      </c>
      <c r="B60" s="1" t="s">
        <v>9</v>
      </c>
      <c r="C60" s="1" t="s">
        <v>42</v>
      </c>
      <c r="D60" s="1" t="str">
        <f t="shared" si="0"/>
        <v>Ahmed Sheikh</v>
      </c>
      <c r="E60" s="1" t="str">
        <f t="shared" si="1"/>
        <v>AhmedSheikh</v>
      </c>
      <c r="F60" s="1" t="s">
        <v>248</v>
      </c>
      <c r="G60" s="1" t="s">
        <v>249</v>
      </c>
      <c r="H60" s="1" t="str">
        <f>SUBSTITUTE(G60,"edu","edu")</f>
        <v>ahmed.sheikh59@school.edu</v>
      </c>
      <c r="I60" s="1" t="str" cm="1">
        <f t="array" ref="I60:J60">_xlfn.TEXTSPLIT(G60,"@")</f>
        <v>ahmed.sheikh59</v>
      </c>
      <c r="J60" s="1" t="str">
        <v>school.edu</v>
      </c>
      <c r="K60" s="4" t="s">
        <v>250</v>
      </c>
      <c r="L60" s="1" t="s">
        <v>19</v>
      </c>
      <c r="M60">
        <v>10</v>
      </c>
      <c r="N60" s="4" t="s">
        <v>14</v>
      </c>
      <c r="O60" t="str">
        <f t="shared" si="2"/>
        <v>ahmed</v>
      </c>
      <c r="P60" t="str">
        <f t="shared" si="3"/>
        <v>sheikh59</v>
      </c>
      <c r="Q60" t="str">
        <f t="shared" si="4"/>
        <v>ahmed sheikh59</v>
      </c>
      <c r="R60">
        <v>59</v>
      </c>
      <c r="S60">
        <f t="shared" si="5"/>
        <v>1</v>
      </c>
      <c r="T60">
        <f t="shared" si="6"/>
        <v>1</v>
      </c>
    </row>
    <row r="61" spans="1:20" x14ac:dyDescent="0.35">
      <c r="A61" s="1" t="s">
        <v>251</v>
      </c>
      <c r="B61" s="1" t="s">
        <v>16</v>
      </c>
      <c r="C61" s="1" t="s">
        <v>28</v>
      </c>
      <c r="D61" s="1" t="str">
        <f t="shared" si="0"/>
        <v>Maryam Siddiqui</v>
      </c>
      <c r="E61" s="1" t="str">
        <f t="shared" si="1"/>
        <v>MaryamSiddiqui</v>
      </c>
      <c r="F61" s="1" t="s">
        <v>29</v>
      </c>
      <c r="G61" s="1" t="s">
        <v>252</v>
      </c>
      <c r="H61" s="1" t="str">
        <f>SUBSTITUTE(G61,"edu","edu")</f>
        <v>maryam.siddiqui60@school.edu</v>
      </c>
      <c r="I61" s="1" t="str" cm="1">
        <f t="array" ref="I61:J61">_xlfn.TEXTSPLIT(G61,"@")</f>
        <v>maryam.siddiqui60</v>
      </c>
      <c r="J61" s="1" t="str">
        <v>school.edu</v>
      </c>
      <c r="K61" s="4" t="s">
        <v>253</v>
      </c>
      <c r="L61" s="1" t="s">
        <v>32</v>
      </c>
      <c r="M61">
        <v>11</v>
      </c>
      <c r="N61" s="4" t="s">
        <v>25</v>
      </c>
      <c r="O61" t="str">
        <f t="shared" si="2"/>
        <v>maryam</v>
      </c>
      <c r="P61" t="str">
        <f t="shared" si="3"/>
        <v>siddiqui60</v>
      </c>
      <c r="Q61" t="str">
        <f t="shared" si="4"/>
        <v>maryam siddiqui60</v>
      </c>
      <c r="R61">
        <v>60</v>
      </c>
      <c r="S61">
        <f t="shared" si="5"/>
        <v>2</v>
      </c>
      <c r="T61">
        <f t="shared" si="6"/>
        <v>2</v>
      </c>
    </row>
    <row r="62" spans="1:20" x14ac:dyDescent="0.35">
      <c r="A62" s="1" t="s">
        <v>254</v>
      </c>
      <c r="B62" s="1" t="s">
        <v>233</v>
      </c>
      <c r="C62" s="1" t="s">
        <v>21</v>
      </c>
      <c r="D62" s="1" t="str">
        <f t="shared" si="0"/>
        <v>Zoya Iqbal</v>
      </c>
      <c r="E62" s="1" t="str">
        <f t="shared" si="1"/>
        <v>ZoyaIqbal</v>
      </c>
      <c r="F62" s="1" t="s">
        <v>255</v>
      </c>
      <c r="G62" s="1" t="s">
        <v>256</v>
      </c>
      <c r="H62" s="1" t="str">
        <f>SUBSTITUTE(G62,"edu","edu")</f>
        <v>zoya.iqbal61@school.edu</v>
      </c>
      <c r="I62" s="1" t="str" cm="1">
        <f t="array" ref="I62:J62">_xlfn.TEXTSPLIT(G62,"@")</f>
        <v>zoya.iqbal61</v>
      </c>
      <c r="J62" s="1" t="str">
        <v>school.edu</v>
      </c>
      <c r="K62" s="4" t="s">
        <v>257</v>
      </c>
      <c r="L62" s="1" t="s">
        <v>13</v>
      </c>
      <c r="M62">
        <v>10</v>
      </c>
      <c r="N62" s="4" t="s">
        <v>14</v>
      </c>
      <c r="O62" t="str">
        <f t="shared" si="2"/>
        <v>zoya</v>
      </c>
      <c r="P62" t="str">
        <f t="shared" si="3"/>
        <v>iqbal61</v>
      </c>
      <c r="Q62" t="str">
        <f t="shared" si="4"/>
        <v>zoya iqbal61</v>
      </c>
      <c r="R62">
        <v>61</v>
      </c>
      <c r="S62">
        <f t="shared" si="5"/>
        <v>4</v>
      </c>
      <c r="T62">
        <f t="shared" si="6"/>
        <v>4</v>
      </c>
    </row>
    <row r="63" spans="1:20" x14ac:dyDescent="0.35">
      <c r="A63" s="1" t="s">
        <v>258</v>
      </c>
      <c r="B63" s="1" t="s">
        <v>34</v>
      </c>
      <c r="C63" s="1" t="s">
        <v>42</v>
      </c>
      <c r="D63" s="1" t="str">
        <f t="shared" si="0"/>
        <v>Abdullah Sheikh</v>
      </c>
      <c r="E63" s="1" t="str">
        <f t="shared" si="1"/>
        <v>AbdullahSheikh</v>
      </c>
      <c r="F63" s="1" t="s">
        <v>248</v>
      </c>
      <c r="G63" s="1" t="s">
        <v>259</v>
      </c>
      <c r="H63" s="1" t="str">
        <f>SUBSTITUTE(G63,"edu","edu")</f>
        <v>abdullah.sheikh62@school.edu</v>
      </c>
      <c r="I63" s="1" t="str" cm="1">
        <f t="array" ref="I63:J63">_xlfn.TEXTSPLIT(G63,"@")</f>
        <v>abdullah.sheikh62</v>
      </c>
      <c r="J63" s="1" t="str">
        <v>school.edu</v>
      </c>
      <c r="K63" s="4" t="s">
        <v>260</v>
      </c>
      <c r="L63" s="1" t="s">
        <v>39</v>
      </c>
      <c r="M63">
        <v>10</v>
      </c>
      <c r="N63" s="4" t="s">
        <v>25</v>
      </c>
      <c r="O63" t="str">
        <f t="shared" si="2"/>
        <v>abdullah</v>
      </c>
      <c r="P63" t="str">
        <f t="shared" si="3"/>
        <v>sheikh62</v>
      </c>
      <c r="Q63" t="str">
        <f t="shared" si="4"/>
        <v>abdullah sheikh62</v>
      </c>
      <c r="R63">
        <v>62</v>
      </c>
      <c r="S63">
        <f t="shared" si="5"/>
        <v>1</v>
      </c>
      <c r="T63">
        <f t="shared" si="6"/>
        <v>1</v>
      </c>
    </row>
    <row r="64" spans="1:20" x14ac:dyDescent="0.35">
      <c r="A64" s="1" t="s">
        <v>261</v>
      </c>
      <c r="B64" s="1" t="s">
        <v>52</v>
      </c>
      <c r="C64" s="1" t="s">
        <v>69</v>
      </c>
      <c r="D64" s="1" t="str">
        <f t="shared" si="0"/>
        <v>Usman Khan</v>
      </c>
      <c r="E64" s="1" t="str">
        <f t="shared" si="1"/>
        <v>UsmanKhan</v>
      </c>
      <c r="F64" s="1" t="s">
        <v>110</v>
      </c>
      <c r="G64" s="1" t="s">
        <v>262</v>
      </c>
      <c r="H64" s="1" t="str">
        <f>SUBSTITUTE(G64,"edu","edu")</f>
        <v>usman.khan63@school.edu</v>
      </c>
      <c r="I64" s="1" t="str" cm="1">
        <f t="array" ref="I64:J64">_xlfn.TEXTSPLIT(G64,"@")</f>
        <v>usman.khan63</v>
      </c>
      <c r="J64" s="1" t="str">
        <v>school.edu</v>
      </c>
      <c r="K64" s="4" t="s">
        <v>263</v>
      </c>
      <c r="L64" s="1" t="s">
        <v>32</v>
      </c>
      <c r="M64">
        <v>10</v>
      </c>
      <c r="N64" s="4" t="s">
        <v>14</v>
      </c>
      <c r="O64" t="str">
        <f t="shared" si="2"/>
        <v>usman</v>
      </c>
      <c r="P64" t="str">
        <f t="shared" si="3"/>
        <v>khan63</v>
      </c>
      <c r="Q64" t="str">
        <f t="shared" si="4"/>
        <v>usman khan63</v>
      </c>
      <c r="R64">
        <v>63</v>
      </c>
      <c r="S64">
        <f t="shared" si="5"/>
        <v>4</v>
      </c>
      <c r="T64">
        <f t="shared" si="6"/>
        <v>4</v>
      </c>
    </row>
    <row r="65" spans="1:20" x14ac:dyDescent="0.35">
      <c r="A65" s="1" t="s">
        <v>264</v>
      </c>
      <c r="B65" s="1" t="s">
        <v>265</v>
      </c>
      <c r="C65" s="1" t="s">
        <v>53</v>
      </c>
      <c r="D65" s="1" t="str">
        <f t="shared" si="0"/>
        <v>Hamza Chaudhry</v>
      </c>
      <c r="E65" s="1" t="str">
        <f t="shared" si="1"/>
        <v>HamzaChaudhry</v>
      </c>
      <c r="F65" s="1" t="s">
        <v>54</v>
      </c>
      <c r="G65" s="1" t="s">
        <v>266</v>
      </c>
      <c r="H65" s="1" t="str">
        <f>SUBSTITUTE(G65,"edu","edu")</f>
        <v>hamza.chaudhry64@school.edu</v>
      </c>
      <c r="I65" s="1" t="str" cm="1">
        <f t="array" ref="I65:J65">_xlfn.TEXTSPLIT(G65,"@")</f>
        <v>hamza.chaudhry64</v>
      </c>
      <c r="J65" s="1" t="str">
        <v>school.edu</v>
      </c>
      <c r="K65" s="4" t="s">
        <v>267</v>
      </c>
      <c r="L65" s="1" t="s">
        <v>39</v>
      </c>
      <c r="M65">
        <v>9</v>
      </c>
      <c r="N65" s="4" t="s">
        <v>25</v>
      </c>
      <c r="O65" t="str">
        <f t="shared" si="2"/>
        <v>hamza</v>
      </c>
      <c r="P65" t="str">
        <f t="shared" si="3"/>
        <v>chaudhry64</v>
      </c>
      <c r="Q65" t="str">
        <f t="shared" si="4"/>
        <v>hamza chaudhry64</v>
      </c>
      <c r="R65">
        <v>64</v>
      </c>
      <c r="S65">
        <f t="shared" si="5"/>
        <v>2</v>
      </c>
      <c r="T65">
        <f t="shared" si="6"/>
        <v>2</v>
      </c>
    </row>
    <row r="66" spans="1:20" x14ac:dyDescent="0.35">
      <c r="A66" s="1" t="s">
        <v>268</v>
      </c>
      <c r="B66" s="1" t="s">
        <v>114</v>
      </c>
      <c r="C66" s="1" t="s">
        <v>35</v>
      </c>
      <c r="D66" s="1" t="str">
        <f t="shared" si="0"/>
        <v>Ayesha Butt</v>
      </c>
      <c r="E66" s="1" t="str">
        <f t="shared" si="1"/>
        <v>AyeshaButt</v>
      </c>
      <c r="F66" s="1" t="s">
        <v>75</v>
      </c>
      <c r="G66" s="1" t="s">
        <v>269</v>
      </c>
      <c r="H66" s="1" t="str">
        <f>SUBSTITUTE(G66,"edu","edu")</f>
        <v>ayesha.butt65@school.edu</v>
      </c>
      <c r="I66" s="1" t="str" cm="1">
        <f t="array" ref="I66:J66">_xlfn.TEXTSPLIT(G66,"@")</f>
        <v>ayesha.butt65</v>
      </c>
      <c r="J66" s="1" t="str">
        <v>school.edu</v>
      </c>
      <c r="K66" s="4" t="s">
        <v>270</v>
      </c>
      <c r="L66" s="1" t="s">
        <v>19</v>
      </c>
      <c r="M66">
        <v>9</v>
      </c>
      <c r="N66" s="4" t="s">
        <v>14</v>
      </c>
      <c r="O66" t="str">
        <f t="shared" si="2"/>
        <v>ayesha</v>
      </c>
      <c r="P66" t="str">
        <f t="shared" si="3"/>
        <v>butt65</v>
      </c>
      <c r="Q66" t="str">
        <f t="shared" si="4"/>
        <v>ayesha butt65</v>
      </c>
      <c r="R66">
        <v>65</v>
      </c>
      <c r="S66">
        <f t="shared" si="5"/>
        <v>1</v>
      </c>
      <c r="T66">
        <f t="shared" si="6"/>
        <v>1</v>
      </c>
    </row>
    <row r="67" spans="1:20" x14ac:dyDescent="0.35">
      <c r="A67" s="1" t="s">
        <v>271</v>
      </c>
      <c r="B67" s="1" t="s">
        <v>114</v>
      </c>
      <c r="C67" s="1" t="s">
        <v>53</v>
      </c>
      <c r="D67" s="1" t="str">
        <f t="shared" ref="D67:D101" si="7">_xlfn.TEXTJOIN(" ",TRUE,B67,C67)</f>
        <v>Ayesha Chaudhry</v>
      </c>
      <c r="E67" s="1" t="str">
        <f t="shared" ref="E67:E101" si="8">_xlfn.CONCAT(B67,C67)</f>
        <v>AyeshaChaudhry</v>
      </c>
      <c r="F67" s="1" t="s">
        <v>79</v>
      </c>
      <c r="G67" s="1" t="s">
        <v>272</v>
      </c>
      <c r="H67" s="1" t="str">
        <f>SUBSTITUTE(G67,"edu","edu")</f>
        <v>ayesha.chaudhry66@school.edu</v>
      </c>
      <c r="I67" s="1" t="str" cm="1">
        <f t="array" ref="I67:J67">_xlfn.TEXTSPLIT(G67,"@")</f>
        <v>ayesha.chaudhry66</v>
      </c>
      <c r="J67" s="1" t="str">
        <v>school.edu</v>
      </c>
      <c r="K67" s="4" t="s">
        <v>273</v>
      </c>
      <c r="L67" s="1" t="s">
        <v>62</v>
      </c>
      <c r="M67">
        <v>10</v>
      </c>
      <c r="N67" s="4" t="s">
        <v>25</v>
      </c>
      <c r="O67" t="str">
        <f t="shared" ref="O67:O101" si="9">_xlfn.TEXTBEFORE(I67,".")</f>
        <v>ayesha</v>
      </c>
      <c r="P67" t="str">
        <f t="shared" ref="P67:P101" si="10">_xlfn.TEXTAFTER(I67,".")</f>
        <v>chaudhry66</v>
      </c>
      <c r="Q67" t="str">
        <f t="shared" ref="Q67:Q101" si="11">O67&amp;" "&amp;P67</f>
        <v>ayesha chaudhry66</v>
      </c>
      <c r="R67">
        <v>66</v>
      </c>
      <c r="S67">
        <f t="shared" ref="S67:S101" si="12">FIND("a",Q67)</f>
        <v>1</v>
      </c>
      <c r="T67">
        <f t="shared" ref="T67:T101" si="13">SEARCH("A",Q67)</f>
        <v>1</v>
      </c>
    </row>
    <row r="68" spans="1:20" x14ac:dyDescent="0.35">
      <c r="A68" s="1" t="s">
        <v>274</v>
      </c>
      <c r="B68" s="1" t="s">
        <v>34</v>
      </c>
      <c r="C68" s="1" t="s">
        <v>53</v>
      </c>
      <c r="D68" s="1" t="str">
        <f t="shared" si="7"/>
        <v>Abdullah Chaudhry</v>
      </c>
      <c r="E68" s="1" t="str">
        <f t="shared" si="8"/>
        <v>AbdullahChaudhry</v>
      </c>
      <c r="F68" s="1" t="s">
        <v>106</v>
      </c>
      <c r="G68" s="1" t="s">
        <v>275</v>
      </c>
      <c r="H68" s="1" t="str">
        <f>SUBSTITUTE(G68,"edu","edu")</f>
        <v>abdullah.chaudhry67@school.edu</v>
      </c>
      <c r="I68" s="1" t="str" cm="1">
        <f t="array" ref="I68:J68">_xlfn.TEXTSPLIT(G68,"@")</f>
        <v>abdullah.chaudhry67</v>
      </c>
      <c r="J68" s="1" t="str">
        <v>school.edu</v>
      </c>
      <c r="K68" s="4" t="s">
        <v>276</v>
      </c>
      <c r="L68" s="1" t="s">
        <v>13</v>
      </c>
      <c r="M68">
        <v>10</v>
      </c>
      <c r="N68" s="4" t="s">
        <v>14</v>
      </c>
      <c r="O68" t="str">
        <f t="shared" si="9"/>
        <v>abdullah</v>
      </c>
      <c r="P68" t="str">
        <f t="shared" si="10"/>
        <v>chaudhry67</v>
      </c>
      <c r="Q68" t="str">
        <f t="shared" si="11"/>
        <v>abdullah chaudhry67</v>
      </c>
      <c r="R68">
        <v>67</v>
      </c>
      <c r="S68">
        <f t="shared" si="12"/>
        <v>1</v>
      </c>
      <c r="T68">
        <f t="shared" si="13"/>
        <v>1</v>
      </c>
    </row>
    <row r="69" spans="1:20" x14ac:dyDescent="0.35">
      <c r="A69" s="1" t="s">
        <v>277</v>
      </c>
      <c r="B69" s="1" t="s">
        <v>34</v>
      </c>
      <c r="C69" s="1" t="s">
        <v>35</v>
      </c>
      <c r="D69" s="1" t="str">
        <f t="shared" si="7"/>
        <v>Abdullah Butt</v>
      </c>
      <c r="E69" s="1" t="str">
        <f t="shared" si="8"/>
        <v>AbdullahButt</v>
      </c>
      <c r="F69" s="1" t="s">
        <v>98</v>
      </c>
      <c r="G69" s="1" t="s">
        <v>278</v>
      </c>
      <c r="H69" s="1" t="str">
        <f>SUBSTITUTE(G69,"edu","edu")</f>
        <v>abdullah.butt68@school.edu</v>
      </c>
      <c r="I69" s="1" t="str" cm="1">
        <f t="array" ref="I69:J69">_xlfn.TEXTSPLIT(G69,"@")</f>
        <v>abdullah.butt68</v>
      </c>
      <c r="J69" s="1" t="str">
        <v>school.edu</v>
      </c>
      <c r="K69" s="4" t="s">
        <v>279</v>
      </c>
      <c r="L69" s="1" t="s">
        <v>19</v>
      </c>
      <c r="M69">
        <v>11</v>
      </c>
      <c r="N69" s="4" t="s">
        <v>25</v>
      </c>
      <c r="O69" t="str">
        <f t="shared" si="9"/>
        <v>abdullah</v>
      </c>
      <c r="P69" t="str">
        <f t="shared" si="10"/>
        <v>butt68</v>
      </c>
      <c r="Q69" t="str">
        <f t="shared" si="11"/>
        <v>abdullah butt68</v>
      </c>
      <c r="R69">
        <v>68</v>
      </c>
      <c r="S69">
        <f t="shared" si="12"/>
        <v>1</v>
      </c>
      <c r="T69">
        <f t="shared" si="13"/>
        <v>1</v>
      </c>
    </row>
    <row r="70" spans="1:20" x14ac:dyDescent="0.35">
      <c r="A70" s="1" t="s">
        <v>280</v>
      </c>
      <c r="B70" s="1" t="s">
        <v>47</v>
      </c>
      <c r="C70" s="1" t="s">
        <v>28</v>
      </c>
      <c r="D70" s="1" t="str">
        <f t="shared" si="7"/>
        <v>Bilal Siddiqui</v>
      </c>
      <c r="E70" s="1" t="str">
        <f t="shared" si="8"/>
        <v>BilalSiddiqui</v>
      </c>
      <c r="F70" s="1" t="s">
        <v>29</v>
      </c>
      <c r="G70" s="1" t="s">
        <v>281</v>
      </c>
      <c r="H70" s="1" t="str">
        <f>SUBSTITUTE(G70,"edu","edu")</f>
        <v>bilal.siddiqui69@school.edu</v>
      </c>
      <c r="I70" s="1" t="str" cm="1">
        <f t="array" ref="I70:J70">_xlfn.TEXTSPLIT(G70,"@")</f>
        <v>bilal.siddiqui69</v>
      </c>
      <c r="J70" s="1" t="str">
        <v>school.edu</v>
      </c>
      <c r="K70" s="4" t="s">
        <v>282</v>
      </c>
      <c r="L70" s="1" t="s">
        <v>32</v>
      </c>
      <c r="M70">
        <v>10</v>
      </c>
      <c r="N70" s="4" t="s">
        <v>25</v>
      </c>
      <c r="O70" t="str">
        <f t="shared" si="9"/>
        <v>bilal</v>
      </c>
      <c r="P70" t="str">
        <f t="shared" si="10"/>
        <v>siddiqui69</v>
      </c>
      <c r="Q70" t="str">
        <f t="shared" si="11"/>
        <v>bilal siddiqui69</v>
      </c>
      <c r="R70">
        <v>69</v>
      </c>
      <c r="S70">
        <f t="shared" si="12"/>
        <v>4</v>
      </c>
      <c r="T70">
        <f t="shared" si="13"/>
        <v>4</v>
      </c>
    </row>
    <row r="71" spans="1:20" x14ac:dyDescent="0.35">
      <c r="A71" s="1" t="s">
        <v>283</v>
      </c>
      <c r="B71" s="1" t="s">
        <v>52</v>
      </c>
      <c r="C71" s="1" t="s">
        <v>53</v>
      </c>
      <c r="D71" s="1" t="str">
        <f t="shared" si="7"/>
        <v>Usman Chaudhry</v>
      </c>
      <c r="E71" s="1" t="str">
        <f t="shared" si="8"/>
        <v>UsmanChaudhry</v>
      </c>
      <c r="F71" s="1" t="s">
        <v>106</v>
      </c>
      <c r="G71" s="1" t="s">
        <v>284</v>
      </c>
      <c r="H71" s="1" t="str">
        <f>SUBSTITUTE(G71,"edu","edu")</f>
        <v>usman.chaudhry70@school.edu</v>
      </c>
      <c r="I71" s="1" t="str" cm="1">
        <f t="array" ref="I71:J71">_xlfn.TEXTSPLIT(G71,"@")</f>
        <v>usman.chaudhry70</v>
      </c>
      <c r="J71" s="1" t="str">
        <v>school.edu</v>
      </c>
      <c r="K71" s="4" t="s">
        <v>285</v>
      </c>
      <c r="L71" s="1" t="s">
        <v>32</v>
      </c>
      <c r="M71">
        <v>10</v>
      </c>
      <c r="N71" s="4" t="s">
        <v>25</v>
      </c>
      <c r="O71" t="str">
        <f t="shared" si="9"/>
        <v>usman</v>
      </c>
      <c r="P71" t="str">
        <f t="shared" si="10"/>
        <v>chaudhry70</v>
      </c>
      <c r="Q71" t="str">
        <f t="shared" si="11"/>
        <v>usman chaudhry70</v>
      </c>
      <c r="R71">
        <v>70</v>
      </c>
      <c r="S71">
        <f t="shared" si="12"/>
        <v>4</v>
      </c>
      <c r="T71">
        <f t="shared" si="13"/>
        <v>4</v>
      </c>
    </row>
    <row r="72" spans="1:20" x14ac:dyDescent="0.35">
      <c r="A72" s="1" t="s">
        <v>286</v>
      </c>
      <c r="B72" s="1" t="s">
        <v>16</v>
      </c>
      <c r="C72" s="1" t="s">
        <v>28</v>
      </c>
      <c r="D72" s="1" t="str">
        <f t="shared" si="7"/>
        <v>Maryam Siddiqui</v>
      </c>
      <c r="E72" s="1" t="str">
        <f t="shared" si="8"/>
        <v>MaryamSiddiqui</v>
      </c>
      <c r="F72" s="1" t="s">
        <v>287</v>
      </c>
      <c r="G72" s="1" t="s">
        <v>288</v>
      </c>
      <c r="H72" s="1" t="str">
        <f>SUBSTITUTE(G72,"edu","edu")</f>
        <v>maryam.siddiqui71@school.edu</v>
      </c>
      <c r="I72" s="1" t="str" cm="1">
        <f t="array" ref="I72:J72">_xlfn.TEXTSPLIT(G72,"@")</f>
        <v>maryam.siddiqui71</v>
      </c>
      <c r="J72" s="1" t="str">
        <v>school.edu</v>
      </c>
      <c r="K72" s="4" t="s">
        <v>289</v>
      </c>
      <c r="L72" s="1" t="s">
        <v>62</v>
      </c>
      <c r="M72">
        <v>9</v>
      </c>
      <c r="N72" s="4" t="s">
        <v>25</v>
      </c>
      <c r="O72" t="str">
        <f t="shared" si="9"/>
        <v>maryam</v>
      </c>
      <c r="P72" t="str">
        <f t="shared" si="10"/>
        <v>siddiqui71</v>
      </c>
      <c r="Q72" t="str">
        <f t="shared" si="11"/>
        <v>maryam siddiqui71</v>
      </c>
      <c r="R72">
        <v>71</v>
      </c>
      <c r="S72">
        <f t="shared" si="12"/>
        <v>2</v>
      </c>
      <c r="T72">
        <f t="shared" si="13"/>
        <v>2</v>
      </c>
    </row>
    <row r="73" spans="1:20" x14ac:dyDescent="0.35">
      <c r="A73" s="1" t="s">
        <v>290</v>
      </c>
      <c r="B73" s="1" t="s">
        <v>34</v>
      </c>
      <c r="C73" s="1" t="s">
        <v>115</v>
      </c>
      <c r="D73" s="1" t="str">
        <f t="shared" si="7"/>
        <v>Abdullah Malik</v>
      </c>
      <c r="E73" s="1" t="str">
        <f t="shared" si="8"/>
        <v>AbdullahMalik</v>
      </c>
      <c r="F73" s="1" t="s">
        <v>291</v>
      </c>
      <c r="G73" s="1" t="s">
        <v>292</v>
      </c>
      <c r="H73" s="1" t="str">
        <f>SUBSTITUTE(G73,"edu","edu")</f>
        <v>abdullah.malik72@school.edu</v>
      </c>
      <c r="I73" s="1" t="str" cm="1">
        <f t="array" ref="I73:J73">_xlfn.TEXTSPLIT(G73,"@")</f>
        <v>abdullah.malik72</v>
      </c>
      <c r="J73" s="1" t="str">
        <v>school.edu</v>
      </c>
      <c r="K73" s="4" t="s">
        <v>293</v>
      </c>
      <c r="L73" s="1" t="s">
        <v>39</v>
      </c>
      <c r="M73">
        <v>9</v>
      </c>
      <c r="N73" s="4" t="s">
        <v>25</v>
      </c>
      <c r="O73" t="str">
        <f t="shared" si="9"/>
        <v>abdullah</v>
      </c>
      <c r="P73" t="str">
        <f t="shared" si="10"/>
        <v>malik72</v>
      </c>
      <c r="Q73" t="str">
        <f t="shared" si="11"/>
        <v>abdullah malik72</v>
      </c>
      <c r="R73">
        <v>72</v>
      </c>
      <c r="S73">
        <f t="shared" si="12"/>
        <v>1</v>
      </c>
      <c r="T73">
        <f t="shared" si="13"/>
        <v>1</v>
      </c>
    </row>
    <row r="74" spans="1:20" x14ac:dyDescent="0.35">
      <c r="A74" s="1" t="s">
        <v>294</v>
      </c>
      <c r="B74" s="1" t="s">
        <v>74</v>
      </c>
      <c r="C74" s="1" t="s">
        <v>115</v>
      </c>
      <c r="D74" s="1" t="str">
        <f t="shared" si="7"/>
        <v>Fatima Malik</v>
      </c>
      <c r="E74" s="1" t="str">
        <f t="shared" si="8"/>
        <v>FatimaMalik</v>
      </c>
      <c r="F74" s="1" t="s">
        <v>131</v>
      </c>
      <c r="G74" s="1" t="s">
        <v>295</v>
      </c>
      <c r="H74" s="1" t="str">
        <f>SUBSTITUTE(G74,"edu","edu")</f>
        <v>fatima.malik73@school.edu</v>
      </c>
      <c r="I74" s="1" t="str" cm="1">
        <f t="array" ref="I74:J74">_xlfn.TEXTSPLIT(G74,"@")</f>
        <v>fatima.malik73</v>
      </c>
      <c r="J74" s="1" t="str">
        <v>school.edu</v>
      </c>
      <c r="K74" s="4" t="s">
        <v>296</v>
      </c>
      <c r="L74" s="1" t="s">
        <v>19</v>
      </c>
      <c r="M74">
        <v>9</v>
      </c>
      <c r="N74" s="4" t="s">
        <v>14</v>
      </c>
      <c r="O74" t="str">
        <f t="shared" si="9"/>
        <v>fatima</v>
      </c>
      <c r="P74" t="str">
        <f t="shared" si="10"/>
        <v>malik73</v>
      </c>
      <c r="Q74" t="str">
        <f t="shared" si="11"/>
        <v>fatima malik73</v>
      </c>
      <c r="R74">
        <v>73</v>
      </c>
      <c r="S74">
        <f t="shared" si="12"/>
        <v>2</v>
      </c>
      <c r="T74">
        <f t="shared" si="13"/>
        <v>2</v>
      </c>
    </row>
    <row r="75" spans="1:20" x14ac:dyDescent="0.35">
      <c r="A75" s="1" t="s">
        <v>297</v>
      </c>
      <c r="B75" s="1" t="s">
        <v>148</v>
      </c>
      <c r="C75" s="1" t="s">
        <v>53</v>
      </c>
      <c r="D75" s="1" t="str">
        <f t="shared" si="7"/>
        <v>Ali Chaudhry</v>
      </c>
      <c r="E75" s="1" t="str">
        <f t="shared" si="8"/>
        <v>AliChaudhry</v>
      </c>
      <c r="F75" s="1" t="s">
        <v>54</v>
      </c>
      <c r="G75" s="1" t="s">
        <v>298</v>
      </c>
      <c r="H75" s="1" t="str">
        <f>SUBSTITUTE(G75,"edu","edu")</f>
        <v>ali.chaudhry74@school.edu</v>
      </c>
      <c r="I75" s="1" t="str" cm="1">
        <f t="array" ref="I75:J75">_xlfn.TEXTSPLIT(G75,"@")</f>
        <v>ali.chaudhry74</v>
      </c>
      <c r="J75" s="1" t="str">
        <v>school.edu</v>
      </c>
      <c r="K75" s="4" t="s">
        <v>299</v>
      </c>
      <c r="L75" s="1" t="s">
        <v>13</v>
      </c>
      <c r="M75">
        <v>9</v>
      </c>
      <c r="N75" s="4" t="s">
        <v>14</v>
      </c>
      <c r="O75" t="str">
        <f t="shared" si="9"/>
        <v>ali</v>
      </c>
      <c r="P75" t="str">
        <f t="shared" si="10"/>
        <v>chaudhry74</v>
      </c>
      <c r="Q75" t="str">
        <f t="shared" si="11"/>
        <v>ali chaudhry74</v>
      </c>
      <c r="R75">
        <v>74</v>
      </c>
      <c r="S75">
        <f t="shared" si="12"/>
        <v>1</v>
      </c>
      <c r="T75">
        <f t="shared" si="13"/>
        <v>1</v>
      </c>
    </row>
    <row r="76" spans="1:20" x14ac:dyDescent="0.35">
      <c r="A76" s="1" t="s">
        <v>300</v>
      </c>
      <c r="B76" s="1" t="s">
        <v>233</v>
      </c>
      <c r="C76" s="1" t="s">
        <v>87</v>
      </c>
      <c r="D76" s="1" t="str">
        <f t="shared" si="7"/>
        <v>Zoya Raza</v>
      </c>
      <c r="E76" s="1" t="str">
        <f t="shared" si="8"/>
        <v>ZoyaRaza</v>
      </c>
      <c r="F76" s="1" t="s">
        <v>204</v>
      </c>
      <c r="G76" s="1" t="s">
        <v>301</v>
      </c>
      <c r="H76" s="1" t="str">
        <f>SUBSTITUTE(G76,"edu","edu")</f>
        <v>zoya.raza75@school.edu</v>
      </c>
      <c r="I76" s="1" t="str" cm="1">
        <f t="array" ref="I76:J76">_xlfn.TEXTSPLIT(G76,"@")</f>
        <v>zoya.raza75</v>
      </c>
      <c r="J76" s="1" t="str">
        <v>school.edu</v>
      </c>
      <c r="K76" s="4" t="s">
        <v>302</v>
      </c>
      <c r="L76" s="1" t="s">
        <v>62</v>
      </c>
      <c r="M76">
        <v>10</v>
      </c>
      <c r="N76" s="4" t="s">
        <v>25</v>
      </c>
      <c r="O76" t="str">
        <f t="shared" si="9"/>
        <v>zoya</v>
      </c>
      <c r="P76" t="str">
        <f t="shared" si="10"/>
        <v>raza75</v>
      </c>
      <c r="Q76" t="str">
        <f t="shared" si="11"/>
        <v>zoya raza75</v>
      </c>
      <c r="R76">
        <v>75</v>
      </c>
      <c r="S76">
        <f t="shared" si="12"/>
        <v>4</v>
      </c>
      <c r="T76">
        <f t="shared" si="13"/>
        <v>4</v>
      </c>
    </row>
    <row r="77" spans="1:20" x14ac:dyDescent="0.35">
      <c r="A77" s="1" t="s">
        <v>303</v>
      </c>
      <c r="B77" s="1" t="s">
        <v>16</v>
      </c>
      <c r="C77" s="1" t="s">
        <v>69</v>
      </c>
      <c r="D77" s="1" t="str">
        <f t="shared" si="7"/>
        <v>Maryam Khan</v>
      </c>
      <c r="E77" s="1" t="str">
        <f t="shared" si="8"/>
        <v>MaryamKhan</v>
      </c>
      <c r="F77" s="1" t="s">
        <v>136</v>
      </c>
      <c r="G77" s="1" t="s">
        <v>304</v>
      </c>
      <c r="H77" s="1" t="str">
        <f>SUBSTITUTE(G77,"edu","edu")</f>
        <v>maryam.khan76@school.edu</v>
      </c>
      <c r="I77" s="1" t="str" cm="1">
        <f t="array" ref="I77:J77">_xlfn.TEXTSPLIT(G77,"@")</f>
        <v>maryam.khan76</v>
      </c>
      <c r="J77" s="1" t="str">
        <v>school.edu</v>
      </c>
      <c r="K77" s="4" t="s">
        <v>305</v>
      </c>
      <c r="L77" s="1" t="s">
        <v>13</v>
      </c>
      <c r="M77">
        <v>11</v>
      </c>
      <c r="N77" s="4" t="s">
        <v>25</v>
      </c>
      <c r="O77" t="str">
        <f t="shared" si="9"/>
        <v>maryam</v>
      </c>
      <c r="P77" t="str">
        <f t="shared" si="10"/>
        <v>khan76</v>
      </c>
      <c r="Q77" t="str">
        <f t="shared" si="11"/>
        <v>maryam khan76</v>
      </c>
      <c r="R77">
        <v>76</v>
      </c>
      <c r="S77">
        <f t="shared" si="12"/>
        <v>2</v>
      </c>
      <c r="T77">
        <f t="shared" si="13"/>
        <v>2</v>
      </c>
    </row>
    <row r="78" spans="1:20" x14ac:dyDescent="0.35">
      <c r="A78" s="1" t="s">
        <v>306</v>
      </c>
      <c r="B78" s="1" t="s">
        <v>41</v>
      </c>
      <c r="C78" s="1" t="s">
        <v>69</v>
      </c>
      <c r="D78" s="1" t="str">
        <f t="shared" si="7"/>
        <v>Zain Khan</v>
      </c>
      <c r="E78" s="1" t="str">
        <f t="shared" si="8"/>
        <v>ZainKhan</v>
      </c>
      <c r="F78" s="1" t="s">
        <v>110</v>
      </c>
      <c r="G78" s="1" t="s">
        <v>307</v>
      </c>
      <c r="H78" s="1" t="str">
        <f>SUBSTITUTE(G78,"edu","edu")</f>
        <v>zain.khan77@school.edu</v>
      </c>
      <c r="I78" s="1" t="str" cm="1">
        <f t="array" ref="I78:J78">_xlfn.TEXTSPLIT(G78,"@")</f>
        <v>zain.khan77</v>
      </c>
      <c r="J78" s="1" t="str">
        <v>school.edu</v>
      </c>
      <c r="K78" s="4" t="s">
        <v>308</v>
      </c>
      <c r="L78" s="1" t="s">
        <v>62</v>
      </c>
      <c r="M78">
        <v>10</v>
      </c>
      <c r="N78" s="4" t="s">
        <v>14</v>
      </c>
      <c r="O78" t="str">
        <f t="shared" si="9"/>
        <v>zain</v>
      </c>
      <c r="P78" t="str">
        <f t="shared" si="10"/>
        <v>khan77</v>
      </c>
      <c r="Q78" t="str">
        <f t="shared" si="11"/>
        <v>zain khan77</v>
      </c>
      <c r="R78">
        <v>77</v>
      </c>
      <c r="S78">
        <f t="shared" si="12"/>
        <v>2</v>
      </c>
      <c r="T78">
        <f t="shared" si="13"/>
        <v>2</v>
      </c>
    </row>
    <row r="79" spans="1:20" x14ac:dyDescent="0.35">
      <c r="A79" s="1" t="s">
        <v>309</v>
      </c>
      <c r="B79" s="1" t="s">
        <v>9</v>
      </c>
      <c r="C79" s="1" t="s">
        <v>69</v>
      </c>
      <c r="D79" s="1" t="str">
        <f t="shared" si="7"/>
        <v>Ahmed Khan</v>
      </c>
      <c r="E79" s="1" t="str">
        <f t="shared" si="8"/>
        <v>AhmedKhan</v>
      </c>
      <c r="F79" s="1" t="s">
        <v>310</v>
      </c>
      <c r="G79" s="1" t="s">
        <v>311</v>
      </c>
      <c r="H79" s="1" t="str">
        <f>SUBSTITUTE(G79,"edu","edu")</f>
        <v>ahmed.khan78@school.edu</v>
      </c>
      <c r="I79" s="1" t="str" cm="1">
        <f t="array" ref="I79:J79">_xlfn.TEXTSPLIT(G79,"@")</f>
        <v>ahmed.khan78</v>
      </c>
      <c r="J79" s="1" t="str">
        <v>school.edu</v>
      </c>
      <c r="K79" s="4" t="s">
        <v>312</v>
      </c>
      <c r="L79" s="1" t="s">
        <v>13</v>
      </c>
      <c r="M79">
        <v>9</v>
      </c>
      <c r="N79" s="4" t="s">
        <v>14</v>
      </c>
      <c r="O79" t="str">
        <f t="shared" si="9"/>
        <v>ahmed</v>
      </c>
      <c r="P79" t="str">
        <f t="shared" si="10"/>
        <v>khan78</v>
      </c>
      <c r="Q79" t="str">
        <f t="shared" si="11"/>
        <v>ahmed khan78</v>
      </c>
      <c r="R79">
        <v>78</v>
      </c>
      <c r="S79">
        <f t="shared" si="12"/>
        <v>1</v>
      </c>
      <c r="T79">
        <f t="shared" si="13"/>
        <v>1</v>
      </c>
    </row>
    <row r="80" spans="1:20" x14ac:dyDescent="0.35">
      <c r="A80" s="1" t="s">
        <v>313</v>
      </c>
      <c r="B80" s="1" t="s">
        <v>68</v>
      </c>
      <c r="C80" s="1" t="s">
        <v>28</v>
      </c>
      <c r="D80" s="1" t="str">
        <f t="shared" si="7"/>
        <v>Sara Siddiqui</v>
      </c>
      <c r="E80" s="1" t="str">
        <f t="shared" si="8"/>
        <v>SaraSiddiqui</v>
      </c>
      <c r="F80" s="1" t="s">
        <v>29</v>
      </c>
      <c r="G80" s="1" t="s">
        <v>314</v>
      </c>
      <c r="H80" s="1" t="str">
        <f>SUBSTITUTE(G80,"edu","edu")</f>
        <v>sara.siddiqui79@school.edu</v>
      </c>
      <c r="I80" s="1" t="str" cm="1">
        <f t="array" ref="I80:J80">_xlfn.TEXTSPLIT(G80,"@")</f>
        <v>sara.siddiqui79</v>
      </c>
      <c r="J80" s="1" t="str">
        <v>school.edu</v>
      </c>
      <c r="K80" s="4" t="s">
        <v>315</v>
      </c>
      <c r="L80" s="1" t="s">
        <v>62</v>
      </c>
      <c r="M80">
        <v>9</v>
      </c>
      <c r="N80" s="4" t="s">
        <v>14</v>
      </c>
      <c r="O80" t="str">
        <f t="shared" si="9"/>
        <v>sara</v>
      </c>
      <c r="P80" t="str">
        <f t="shared" si="10"/>
        <v>siddiqui79</v>
      </c>
      <c r="Q80" t="str">
        <f t="shared" si="11"/>
        <v>sara siddiqui79</v>
      </c>
      <c r="R80">
        <v>79</v>
      </c>
      <c r="S80">
        <f t="shared" si="12"/>
        <v>2</v>
      </c>
      <c r="T80">
        <f t="shared" si="13"/>
        <v>2</v>
      </c>
    </row>
    <row r="81" spans="1:20" x14ac:dyDescent="0.35">
      <c r="A81" s="1" t="s">
        <v>316</v>
      </c>
      <c r="B81" s="1" t="s">
        <v>135</v>
      </c>
      <c r="C81" s="1" t="s">
        <v>87</v>
      </c>
      <c r="D81" s="1" t="str">
        <f t="shared" si="7"/>
        <v>Hassan Raza</v>
      </c>
      <c r="E81" s="1" t="str">
        <f t="shared" si="8"/>
        <v>HassanRaza</v>
      </c>
      <c r="F81" s="1" t="s">
        <v>204</v>
      </c>
      <c r="G81" s="1" t="s">
        <v>317</v>
      </c>
      <c r="H81" s="1" t="str">
        <f>SUBSTITUTE(G81,"edu","edu")</f>
        <v>hassan.raza80@school.edu</v>
      </c>
      <c r="I81" s="1" t="str" cm="1">
        <f t="array" ref="I81:J81">_xlfn.TEXTSPLIT(G81,"@")</f>
        <v>hassan.raza80</v>
      </c>
      <c r="J81" s="1" t="str">
        <v>school.edu</v>
      </c>
      <c r="K81" s="4" t="s">
        <v>318</v>
      </c>
      <c r="L81" s="1" t="s">
        <v>32</v>
      </c>
      <c r="M81">
        <v>11</v>
      </c>
      <c r="N81" s="4" t="s">
        <v>25</v>
      </c>
      <c r="O81" t="str">
        <f t="shared" si="9"/>
        <v>hassan</v>
      </c>
      <c r="P81" t="str">
        <f t="shared" si="10"/>
        <v>raza80</v>
      </c>
      <c r="Q81" t="str">
        <f t="shared" si="11"/>
        <v>hassan raza80</v>
      </c>
      <c r="R81">
        <v>80</v>
      </c>
      <c r="S81">
        <f t="shared" si="12"/>
        <v>2</v>
      </c>
      <c r="T81">
        <f t="shared" si="13"/>
        <v>2</v>
      </c>
    </row>
    <row r="82" spans="1:20" x14ac:dyDescent="0.35">
      <c r="A82" s="1" t="s">
        <v>319</v>
      </c>
      <c r="B82" s="1" t="s">
        <v>9</v>
      </c>
      <c r="C82" s="1" t="s">
        <v>9</v>
      </c>
      <c r="D82" s="1" t="str">
        <f t="shared" si="7"/>
        <v>Ahmed Ahmed</v>
      </c>
      <c r="E82" s="1" t="str">
        <f t="shared" si="8"/>
        <v>AhmedAhmed</v>
      </c>
      <c r="F82" s="1" t="s">
        <v>10</v>
      </c>
      <c r="G82" s="1" t="s">
        <v>320</v>
      </c>
      <c r="H82" s="1" t="str">
        <f>SUBSTITUTE(G82,"edu","edu")</f>
        <v>ahmed.ahmed81@school.edu</v>
      </c>
      <c r="I82" s="1" t="str" cm="1">
        <f t="array" ref="I82:J82">_xlfn.TEXTSPLIT(G82,"@")</f>
        <v>ahmed.ahmed81</v>
      </c>
      <c r="J82" s="1" t="str">
        <v>school.edu</v>
      </c>
      <c r="K82" s="4" t="s">
        <v>321</v>
      </c>
      <c r="L82" s="1" t="s">
        <v>32</v>
      </c>
      <c r="M82">
        <v>9</v>
      </c>
      <c r="N82" s="4" t="s">
        <v>14</v>
      </c>
      <c r="O82" t="str">
        <f t="shared" si="9"/>
        <v>ahmed</v>
      </c>
      <c r="P82" t="str">
        <f t="shared" si="10"/>
        <v>ahmed81</v>
      </c>
      <c r="Q82" t="str">
        <f t="shared" si="11"/>
        <v>ahmed ahmed81</v>
      </c>
      <c r="R82">
        <v>81</v>
      </c>
      <c r="S82">
        <f t="shared" si="12"/>
        <v>1</v>
      </c>
      <c r="T82">
        <f t="shared" si="13"/>
        <v>1</v>
      </c>
    </row>
    <row r="83" spans="1:20" x14ac:dyDescent="0.35">
      <c r="A83" s="1" t="s">
        <v>322</v>
      </c>
      <c r="B83" s="1" t="s">
        <v>135</v>
      </c>
      <c r="C83" s="1" t="s">
        <v>143</v>
      </c>
      <c r="D83" s="1" t="str">
        <f t="shared" si="7"/>
        <v>Hassan Farooq</v>
      </c>
      <c r="E83" s="1" t="str">
        <f t="shared" si="8"/>
        <v>HassanFarooq</v>
      </c>
      <c r="F83" s="1" t="s">
        <v>144</v>
      </c>
      <c r="G83" s="1" t="s">
        <v>323</v>
      </c>
      <c r="H83" s="1" t="str">
        <f>SUBSTITUTE(G83,"edu","edu")</f>
        <v>hassan.farooq82@school.edu</v>
      </c>
      <c r="I83" s="1" t="str" cm="1">
        <f t="array" ref="I83:J83">_xlfn.TEXTSPLIT(G83,"@")</f>
        <v>hassan.farooq82</v>
      </c>
      <c r="J83" s="1" t="str">
        <v>school.edu</v>
      </c>
      <c r="K83" s="4" t="s">
        <v>324</v>
      </c>
      <c r="L83" s="1" t="s">
        <v>39</v>
      </c>
      <c r="M83">
        <v>11</v>
      </c>
      <c r="N83" s="4" t="s">
        <v>25</v>
      </c>
      <c r="O83" t="str">
        <f t="shared" si="9"/>
        <v>hassan</v>
      </c>
      <c r="P83" t="str">
        <f t="shared" si="10"/>
        <v>farooq82</v>
      </c>
      <c r="Q83" t="str">
        <f t="shared" si="11"/>
        <v>hassan farooq82</v>
      </c>
      <c r="R83">
        <v>82</v>
      </c>
      <c r="S83">
        <f t="shared" si="12"/>
        <v>2</v>
      </c>
      <c r="T83">
        <f t="shared" si="13"/>
        <v>2</v>
      </c>
    </row>
    <row r="84" spans="1:20" x14ac:dyDescent="0.35">
      <c r="A84" s="1" t="s">
        <v>325</v>
      </c>
      <c r="B84" s="1" t="s">
        <v>265</v>
      </c>
      <c r="C84" s="1" t="s">
        <v>53</v>
      </c>
      <c r="D84" s="1" t="str">
        <f t="shared" si="7"/>
        <v>Hamza Chaudhry</v>
      </c>
      <c r="E84" s="1" t="str">
        <f t="shared" si="8"/>
        <v>HamzaChaudhry</v>
      </c>
      <c r="F84" s="1" t="s">
        <v>54</v>
      </c>
      <c r="G84" s="1" t="s">
        <v>326</v>
      </c>
      <c r="H84" s="1" t="str">
        <f>SUBSTITUTE(G84,"edu","edu")</f>
        <v>hamza.chaudhry83@school.edu</v>
      </c>
      <c r="I84" s="1" t="str" cm="1">
        <f t="array" ref="I84:J84">_xlfn.TEXTSPLIT(G84,"@")</f>
        <v>hamza.chaudhry83</v>
      </c>
      <c r="J84" s="1" t="str">
        <v>school.edu</v>
      </c>
      <c r="K84" s="4" t="s">
        <v>327</v>
      </c>
      <c r="L84" s="1" t="s">
        <v>13</v>
      </c>
      <c r="M84">
        <v>10</v>
      </c>
      <c r="N84" s="4" t="s">
        <v>25</v>
      </c>
      <c r="O84" t="str">
        <f t="shared" si="9"/>
        <v>hamza</v>
      </c>
      <c r="P84" t="str">
        <f t="shared" si="10"/>
        <v>chaudhry83</v>
      </c>
      <c r="Q84" t="str">
        <f t="shared" si="11"/>
        <v>hamza chaudhry83</v>
      </c>
      <c r="R84">
        <v>83</v>
      </c>
      <c r="S84">
        <f t="shared" si="12"/>
        <v>2</v>
      </c>
      <c r="T84">
        <f t="shared" si="13"/>
        <v>2</v>
      </c>
    </row>
    <row r="85" spans="1:20" x14ac:dyDescent="0.35">
      <c r="A85" s="1" t="s">
        <v>328</v>
      </c>
      <c r="B85" s="1" t="s">
        <v>41</v>
      </c>
      <c r="C85" s="1" t="s">
        <v>53</v>
      </c>
      <c r="D85" s="1" t="str">
        <f t="shared" si="7"/>
        <v>Zain Chaudhry</v>
      </c>
      <c r="E85" s="1" t="str">
        <f t="shared" si="8"/>
        <v>ZainChaudhry</v>
      </c>
      <c r="F85" s="1" t="s">
        <v>106</v>
      </c>
      <c r="G85" s="1" t="s">
        <v>329</v>
      </c>
      <c r="H85" s="1" t="str">
        <f>SUBSTITUTE(G85,"edu","edu")</f>
        <v>zain.chaudhry84@school.edu</v>
      </c>
      <c r="I85" s="1" t="str" cm="1">
        <f t="array" ref="I85:J85">_xlfn.TEXTSPLIT(G85,"@")</f>
        <v>zain.chaudhry84</v>
      </c>
      <c r="J85" s="1" t="str">
        <v>school.edu</v>
      </c>
      <c r="K85" s="4" t="s">
        <v>330</v>
      </c>
      <c r="L85" s="1" t="s">
        <v>62</v>
      </c>
      <c r="M85">
        <v>10</v>
      </c>
      <c r="N85" s="4" t="s">
        <v>25</v>
      </c>
      <c r="O85" t="str">
        <f t="shared" si="9"/>
        <v>zain</v>
      </c>
      <c r="P85" t="str">
        <f t="shared" si="10"/>
        <v>chaudhry84</v>
      </c>
      <c r="Q85" t="str">
        <f t="shared" si="11"/>
        <v>zain chaudhry84</v>
      </c>
      <c r="R85">
        <v>84</v>
      </c>
      <c r="S85">
        <f t="shared" si="12"/>
        <v>2</v>
      </c>
      <c r="T85">
        <f t="shared" si="13"/>
        <v>2</v>
      </c>
    </row>
    <row r="86" spans="1:20" x14ac:dyDescent="0.35">
      <c r="A86" s="1" t="s">
        <v>331</v>
      </c>
      <c r="B86" s="1" t="s">
        <v>68</v>
      </c>
      <c r="C86" s="1" t="s">
        <v>143</v>
      </c>
      <c r="D86" s="1" t="str">
        <f t="shared" si="7"/>
        <v>Sara Farooq</v>
      </c>
      <c r="E86" s="1" t="str">
        <f t="shared" si="8"/>
        <v>SaraFarooq</v>
      </c>
      <c r="F86" s="1" t="s">
        <v>332</v>
      </c>
      <c r="G86" s="1" t="s">
        <v>333</v>
      </c>
      <c r="H86" s="1" t="str">
        <f>SUBSTITUTE(G86,"edu","edu")</f>
        <v>sara.farooq85@school.edu</v>
      </c>
      <c r="I86" s="1" t="str" cm="1">
        <f t="array" ref="I86:J86">_xlfn.TEXTSPLIT(G86,"@")</f>
        <v>sara.farooq85</v>
      </c>
      <c r="J86" s="1" t="str">
        <v>school.edu</v>
      </c>
      <c r="K86" s="4" t="s">
        <v>334</v>
      </c>
      <c r="L86" s="1" t="s">
        <v>62</v>
      </c>
      <c r="M86">
        <v>10</v>
      </c>
      <c r="N86" s="4" t="s">
        <v>14</v>
      </c>
      <c r="O86" t="str">
        <f t="shared" si="9"/>
        <v>sara</v>
      </c>
      <c r="P86" t="str">
        <f t="shared" si="10"/>
        <v>farooq85</v>
      </c>
      <c r="Q86" t="str">
        <f t="shared" si="11"/>
        <v>sara farooq85</v>
      </c>
      <c r="R86">
        <v>85</v>
      </c>
      <c r="S86">
        <f t="shared" si="12"/>
        <v>2</v>
      </c>
      <c r="T86">
        <f t="shared" si="13"/>
        <v>2</v>
      </c>
    </row>
    <row r="87" spans="1:20" x14ac:dyDescent="0.35">
      <c r="A87" s="1" t="s">
        <v>335</v>
      </c>
      <c r="B87" s="1" t="s">
        <v>265</v>
      </c>
      <c r="C87" s="1" t="s">
        <v>28</v>
      </c>
      <c r="D87" s="1" t="str">
        <f t="shared" si="7"/>
        <v>Hamza Siddiqui</v>
      </c>
      <c r="E87" s="1" t="str">
        <f t="shared" si="8"/>
        <v>HamzaSiddiqui</v>
      </c>
      <c r="F87" s="1" t="s">
        <v>287</v>
      </c>
      <c r="G87" s="1" t="s">
        <v>336</v>
      </c>
      <c r="H87" s="1" t="str">
        <f>SUBSTITUTE(G87,"edu","edu")</f>
        <v>hamza.siddiqui86@school.edu</v>
      </c>
      <c r="I87" s="1" t="str" cm="1">
        <f t="array" ref="I87:J87">_xlfn.TEXTSPLIT(G87,"@")</f>
        <v>hamza.siddiqui86</v>
      </c>
      <c r="J87" s="1" t="str">
        <v>school.edu</v>
      </c>
      <c r="K87" s="4" t="s">
        <v>337</v>
      </c>
      <c r="L87" s="1" t="s">
        <v>62</v>
      </c>
      <c r="M87">
        <v>9</v>
      </c>
      <c r="N87" s="4" t="s">
        <v>14</v>
      </c>
      <c r="O87" t="str">
        <f t="shared" si="9"/>
        <v>hamza</v>
      </c>
      <c r="P87" t="str">
        <f t="shared" si="10"/>
        <v>siddiqui86</v>
      </c>
      <c r="Q87" t="str">
        <f t="shared" si="11"/>
        <v>hamza siddiqui86</v>
      </c>
      <c r="R87">
        <v>86</v>
      </c>
      <c r="S87">
        <f t="shared" si="12"/>
        <v>2</v>
      </c>
      <c r="T87">
        <f t="shared" si="13"/>
        <v>2</v>
      </c>
    </row>
    <row r="88" spans="1:20" x14ac:dyDescent="0.35">
      <c r="A88" s="1" t="s">
        <v>338</v>
      </c>
      <c r="B88" s="1" t="s">
        <v>233</v>
      </c>
      <c r="C88" s="1" t="s">
        <v>42</v>
      </c>
      <c r="D88" s="1" t="str">
        <f t="shared" si="7"/>
        <v>Zoya Sheikh</v>
      </c>
      <c r="E88" s="1" t="str">
        <f t="shared" si="8"/>
        <v>ZoyaSheikh</v>
      </c>
      <c r="F88" s="1" t="s">
        <v>339</v>
      </c>
      <c r="G88" s="1" t="s">
        <v>340</v>
      </c>
      <c r="H88" s="1" t="str">
        <f>SUBSTITUTE(G88,"edu","edu")</f>
        <v>zoya.sheikh87@school.edu</v>
      </c>
      <c r="I88" s="1" t="str" cm="1">
        <f t="array" ref="I88:J88">_xlfn.TEXTSPLIT(G88,"@")</f>
        <v>zoya.sheikh87</v>
      </c>
      <c r="J88" s="1" t="str">
        <v>school.edu</v>
      </c>
      <c r="K88" s="4" t="s">
        <v>341</v>
      </c>
      <c r="L88" s="1" t="s">
        <v>32</v>
      </c>
      <c r="M88">
        <v>11</v>
      </c>
      <c r="N88" s="4" t="s">
        <v>25</v>
      </c>
      <c r="O88" t="str">
        <f t="shared" si="9"/>
        <v>zoya</v>
      </c>
      <c r="P88" t="str">
        <f t="shared" si="10"/>
        <v>sheikh87</v>
      </c>
      <c r="Q88" t="str">
        <f t="shared" si="11"/>
        <v>zoya sheikh87</v>
      </c>
      <c r="R88">
        <v>87</v>
      </c>
      <c r="S88">
        <f t="shared" si="12"/>
        <v>4</v>
      </c>
      <c r="T88">
        <f t="shared" si="13"/>
        <v>4</v>
      </c>
    </row>
    <row r="89" spans="1:20" x14ac:dyDescent="0.35">
      <c r="A89" s="1" t="s">
        <v>342</v>
      </c>
      <c r="B89" s="1" t="s">
        <v>148</v>
      </c>
      <c r="C89" s="1" t="s">
        <v>69</v>
      </c>
      <c r="D89" s="1" t="str">
        <f t="shared" si="7"/>
        <v>Ali Khan</v>
      </c>
      <c r="E89" s="1" t="str">
        <f t="shared" si="8"/>
        <v>AliKhan</v>
      </c>
      <c r="F89" s="1" t="s">
        <v>136</v>
      </c>
      <c r="G89" s="1" t="s">
        <v>343</v>
      </c>
      <c r="H89" s="1" t="str">
        <f>SUBSTITUTE(G89,"edu","edu")</f>
        <v>ali.khan88@school.edu</v>
      </c>
      <c r="I89" s="1" t="str" cm="1">
        <f t="array" ref="I89:J89">_xlfn.TEXTSPLIT(G89,"@")</f>
        <v>ali.khan88</v>
      </c>
      <c r="J89" s="1" t="str">
        <v>school.edu</v>
      </c>
      <c r="K89" s="4" t="s">
        <v>344</v>
      </c>
      <c r="L89" s="1" t="s">
        <v>13</v>
      </c>
      <c r="M89">
        <v>11</v>
      </c>
      <c r="N89" s="4" t="s">
        <v>25</v>
      </c>
      <c r="O89" t="str">
        <f t="shared" si="9"/>
        <v>ali</v>
      </c>
      <c r="P89" t="str">
        <f t="shared" si="10"/>
        <v>khan88</v>
      </c>
      <c r="Q89" t="str">
        <f t="shared" si="11"/>
        <v>ali khan88</v>
      </c>
      <c r="R89">
        <v>88</v>
      </c>
      <c r="S89">
        <f t="shared" si="12"/>
        <v>1</v>
      </c>
      <c r="T89">
        <f t="shared" si="13"/>
        <v>1</v>
      </c>
    </row>
    <row r="90" spans="1:20" x14ac:dyDescent="0.35">
      <c r="A90" s="1" t="s">
        <v>345</v>
      </c>
      <c r="B90" s="1" t="s">
        <v>47</v>
      </c>
      <c r="C90" s="1" t="s">
        <v>9</v>
      </c>
      <c r="D90" s="1" t="str">
        <f t="shared" si="7"/>
        <v>Bilal Ahmed</v>
      </c>
      <c r="E90" s="1" t="str">
        <f t="shared" si="8"/>
        <v>BilalAhmed</v>
      </c>
      <c r="F90" s="1" t="s">
        <v>10</v>
      </c>
      <c r="G90" s="1" t="s">
        <v>346</v>
      </c>
      <c r="H90" s="1" t="str">
        <f>SUBSTITUTE(G90,"edu","edu")</f>
        <v>bilal.ahmed89@school.edu</v>
      </c>
      <c r="I90" s="1" t="str" cm="1">
        <f t="array" ref="I90:J90">_xlfn.TEXTSPLIT(G90,"@")</f>
        <v>bilal.ahmed89</v>
      </c>
      <c r="J90" s="1" t="str">
        <v>school.edu</v>
      </c>
      <c r="K90" s="4" t="s">
        <v>347</v>
      </c>
      <c r="L90" s="1" t="s">
        <v>19</v>
      </c>
      <c r="M90">
        <v>9</v>
      </c>
      <c r="N90" s="4" t="s">
        <v>25</v>
      </c>
      <c r="O90" t="str">
        <f t="shared" si="9"/>
        <v>bilal</v>
      </c>
      <c r="P90" t="str">
        <f t="shared" si="10"/>
        <v>ahmed89</v>
      </c>
      <c r="Q90" t="str">
        <f t="shared" si="11"/>
        <v>bilal ahmed89</v>
      </c>
      <c r="R90">
        <v>89</v>
      </c>
      <c r="S90">
        <f t="shared" si="12"/>
        <v>4</v>
      </c>
      <c r="T90">
        <f t="shared" si="13"/>
        <v>4</v>
      </c>
    </row>
    <row r="91" spans="1:20" x14ac:dyDescent="0.35">
      <c r="A91" s="1" t="s">
        <v>348</v>
      </c>
      <c r="B91" s="1" t="s">
        <v>47</v>
      </c>
      <c r="C91" s="1" t="s">
        <v>143</v>
      </c>
      <c r="D91" s="1" t="str">
        <f t="shared" si="7"/>
        <v>Bilal Farooq</v>
      </c>
      <c r="E91" s="1" t="str">
        <f t="shared" si="8"/>
        <v>BilalFarooq</v>
      </c>
      <c r="F91" s="1" t="s">
        <v>186</v>
      </c>
      <c r="G91" s="1" t="s">
        <v>349</v>
      </c>
      <c r="H91" s="1" t="str">
        <f>SUBSTITUTE(G91,"edu","edu")</f>
        <v>bilal.farooq90@school.edu</v>
      </c>
      <c r="I91" s="1" t="str" cm="1">
        <f t="array" ref="I91:J91">_xlfn.TEXTSPLIT(G91,"@")</f>
        <v>bilal.farooq90</v>
      </c>
      <c r="J91" s="1" t="str">
        <v>school.edu</v>
      </c>
      <c r="K91" s="4" t="s">
        <v>350</v>
      </c>
      <c r="L91" s="1" t="s">
        <v>62</v>
      </c>
      <c r="M91">
        <v>9</v>
      </c>
      <c r="N91" s="4" t="s">
        <v>25</v>
      </c>
      <c r="O91" t="str">
        <f t="shared" si="9"/>
        <v>bilal</v>
      </c>
      <c r="P91" t="str">
        <f t="shared" si="10"/>
        <v>farooq90</v>
      </c>
      <c r="Q91" t="str">
        <f t="shared" si="11"/>
        <v>bilal farooq90</v>
      </c>
      <c r="R91">
        <v>90</v>
      </c>
      <c r="S91">
        <f t="shared" si="12"/>
        <v>4</v>
      </c>
      <c r="T91">
        <f t="shared" si="13"/>
        <v>4</v>
      </c>
    </row>
    <row r="92" spans="1:20" x14ac:dyDescent="0.35">
      <c r="A92" s="1" t="s">
        <v>351</v>
      </c>
      <c r="B92" s="1" t="s">
        <v>68</v>
      </c>
      <c r="C92" s="1" t="s">
        <v>115</v>
      </c>
      <c r="D92" s="1" t="str">
        <f t="shared" si="7"/>
        <v>Sara Malik</v>
      </c>
      <c r="E92" s="1" t="str">
        <f t="shared" si="8"/>
        <v>SaraMalik</v>
      </c>
      <c r="F92" s="1" t="s">
        <v>116</v>
      </c>
      <c r="G92" s="1" t="s">
        <v>352</v>
      </c>
      <c r="H92" s="1" t="str">
        <f>SUBSTITUTE(G92,"edu","edu")</f>
        <v>sara.malik91@school.edu</v>
      </c>
      <c r="I92" s="1" t="str" cm="1">
        <f t="array" ref="I92:J92">_xlfn.TEXTSPLIT(G92,"@")</f>
        <v>sara.malik91</v>
      </c>
      <c r="J92" s="1" t="str">
        <v>school.edu</v>
      </c>
      <c r="K92" s="4" t="s">
        <v>353</v>
      </c>
      <c r="L92" s="1" t="s">
        <v>62</v>
      </c>
      <c r="M92">
        <v>10</v>
      </c>
      <c r="N92" s="4" t="s">
        <v>25</v>
      </c>
      <c r="O92" t="str">
        <f t="shared" si="9"/>
        <v>sara</v>
      </c>
      <c r="P92" t="str">
        <f t="shared" si="10"/>
        <v>malik91</v>
      </c>
      <c r="Q92" t="str">
        <f t="shared" si="11"/>
        <v>sara malik91</v>
      </c>
      <c r="R92">
        <v>91</v>
      </c>
      <c r="S92">
        <f t="shared" si="12"/>
        <v>2</v>
      </c>
      <c r="T92">
        <f t="shared" si="13"/>
        <v>2</v>
      </c>
    </row>
    <row r="93" spans="1:20" x14ac:dyDescent="0.35">
      <c r="A93" s="1" t="s">
        <v>354</v>
      </c>
      <c r="B93" s="1" t="s">
        <v>265</v>
      </c>
      <c r="C93" s="1" t="s">
        <v>42</v>
      </c>
      <c r="D93" s="1" t="str">
        <f t="shared" si="7"/>
        <v>Hamza Sheikh</v>
      </c>
      <c r="E93" s="1" t="str">
        <f t="shared" si="8"/>
        <v>HamzaSheikh</v>
      </c>
      <c r="F93" s="1" t="s">
        <v>43</v>
      </c>
      <c r="G93" s="1" t="s">
        <v>355</v>
      </c>
      <c r="H93" s="1" t="str">
        <f>SUBSTITUTE(G93,"edu","edu")</f>
        <v>hamza.sheikh92@school.edu</v>
      </c>
      <c r="I93" s="1" t="str" cm="1">
        <f t="array" ref="I93:J93">_xlfn.TEXTSPLIT(G93,"@")</f>
        <v>hamza.sheikh92</v>
      </c>
      <c r="J93" s="1" t="str">
        <v>school.edu</v>
      </c>
      <c r="K93" s="4" t="s">
        <v>356</v>
      </c>
      <c r="L93" s="1" t="s">
        <v>39</v>
      </c>
      <c r="M93">
        <v>9</v>
      </c>
      <c r="N93" s="4" t="s">
        <v>14</v>
      </c>
      <c r="O93" t="str">
        <f t="shared" si="9"/>
        <v>hamza</v>
      </c>
      <c r="P93" t="str">
        <f t="shared" si="10"/>
        <v>sheikh92</v>
      </c>
      <c r="Q93" t="str">
        <f t="shared" si="11"/>
        <v>hamza sheikh92</v>
      </c>
      <c r="R93">
        <v>92</v>
      </c>
      <c r="S93">
        <f t="shared" si="12"/>
        <v>2</v>
      </c>
      <c r="T93">
        <f t="shared" si="13"/>
        <v>2</v>
      </c>
    </row>
    <row r="94" spans="1:20" x14ac:dyDescent="0.35">
      <c r="A94" s="1" t="s">
        <v>357</v>
      </c>
      <c r="B94" s="1" t="s">
        <v>68</v>
      </c>
      <c r="C94" s="1" t="s">
        <v>9</v>
      </c>
      <c r="D94" s="1" t="str">
        <f t="shared" si="7"/>
        <v>Sara Ahmed</v>
      </c>
      <c r="E94" s="1" t="str">
        <f t="shared" si="8"/>
        <v>SaraAhmed</v>
      </c>
      <c r="F94" s="1" t="s">
        <v>358</v>
      </c>
      <c r="G94" s="1" t="s">
        <v>359</v>
      </c>
      <c r="H94" s="1" t="str">
        <f>SUBSTITUTE(G94,"edu","edu")</f>
        <v>sara.ahmed93@school.edu</v>
      </c>
      <c r="I94" s="1" t="str" cm="1">
        <f t="array" ref="I94:J94">_xlfn.TEXTSPLIT(G94,"@")</f>
        <v>sara.ahmed93</v>
      </c>
      <c r="J94" s="1" t="str">
        <v>school.edu</v>
      </c>
      <c r="K94" s="4" t="s">
        <v>360</v>
      </c>
      <c r="L94" s="1" t="s">
        <v>19</v>
      </c>
      <c r="M94">
        <v>10</v>
      </c>
      <c r="N94" s="4" t="s">
        <v>25</v>
      </c>
      <c r="O94" t="str">
        <f t="shared" si="9"/>
        <v>sara</v>
      </c>
      <c r="P94" t="str">
        <f t="shared" si="10"/>
        <v>ahmed93</v>
      </c>
      <c r="Q94" t="str">
        <f t="shared" si="11"/>
        <v>sara ahmed93</v>
      </c>
      <c r="R94">
        <v>93</v>
      </c>
      <c r="S94">
        <f t="shared" si="12"/>
        <v>2</v>
      </c>
      <c r="T94">
        <f t="shared" si="13"/>
        <v>2</v>
      </c>
    </row>
    <row r="95" spans="1:20" x14ac:dyDescent="0.35">
      <c r="A95" s="1" t="s">
        <v>361</v>
      </c>
      <c r="B95" s="1" t="s">
        <v>9</v>
      </c>
      <c r="C95" s="1" t="s">
        <v>143</v>
      </c>
      <c r="D95" s="1" t="str">
        <f t="shared" si="7"/>
        <v>Ahmed Farooq</v>
      </c>
      <c r="E95" s="1" t="str">
        <f t="shared" si="8"/>
        <v>AhmedFarooq</v>
      </c>
      <c r="F95" s="1" t="s">
        <v>362</v>
      </c>
      <c r="G95" s="1" t="s">
        <v>363</v>
      </c>
      <c r="H95" s="1" t="str">
        <f>SUBSTITUTE(G95,"edu","edu")</f>
        <v>ahmed.farooq94@school.edu</v>
      </c>
      <c r="I95" s="1" t="str" cm="1">
        <f t="array" ref="I95:J95">_xlfn.TEXTSPLIT(G95,"@")</f>
        <v>ahmed.farooq94</v>
      </c>
      <c r="J95" s="1" t="str">
        <v>school.edu</v>
      </c>
      <c r="K95" s="4" t="s">
        <v>364</v>
      </c>
      <c r="L95" s="1" t="s">
        <v>62</v>
      </c>
      <c r="M95">
        <v>9</v>
      </c>
      <c r="N95" s="4" t="s">
        <v>14</v>
      </c>
      <c r="O95" t="str">
        <f t="shared" si="9"/>
        <v>ahmed</v>
      </c>
      <c r="P95" t="str">
        <f t="shared" si="10"/>
        <v>farooq94</v>
      </c>
      <c r="Q95" t="str">
        <f t="shared" si="11"/>
        <v>ahmed farooq94</v>
      </c>
      <c r="R95">
        <v>94</v>
      </c>
      <c r="S95">
        <f t="shared" si="12"/>
        <v>1</v>
      </c>
      <c r="T95">
        <f t="shared" si="13"/>
        <v>1</v>
      </c>
    </row>
    <row r="96" spans="1:20" x14ac:dyDescent="0.35">
      <c r="A96" s="1" t="s">
        <v>365</v>
      </c>
      <c r="B96" s="1" t="s">
        <v>233</v>
      </c>
      <c r="C96" s="1" t="s">
        <v>143</v>
      </c>
      <c r="D96" s="1" t="str">
        <f t="shared" si="7"/>
        <v>Zoya Farooq</v>
      </c>
      <c r="E96" s="1" t="str">
        <f t="shared" si="8"/>
        <v>ZoyaFarooq</v>
      </c>
      <c r="F96" s="1" t="s">
        <v>332</v>
      </c>
      <c r="G96" s="1" t="s">
        <v>366</v>
      </c>
      <c r="H96" s="1" t="str">
        <f>SUBSTITUTE(G96,"edu","edu")</f>
        <v>zoya.farooq95@school.edu</v>
      </c>
      <c r="I96" s="1" t="str" cm="1">
        <f t="array" ref="I96:J96">_xlfn.TEXTSPLIT(G96,"@")</f>
        <v>zoya.farooq95</v>
      </c>
      <c r="J96" s="1" t="str">
        <v>school.edu</v>
      </c>
      <c r="K96" s="4" t="s">
        <v>367</v>
      </c>
      <c r="L96" s="1" t="s">
        <v>19</v>
      </c>
      <c r="M96">
        <v>11</v>
      </c>
      <c r="N96" s="4" t="s">
        <v>25</v>
      </c>
      <c r="O96" t="str">
        <f t="shared" si="9"/>
        <v>zoya</v>
      </c>
      <c r="P96" t="str">
        <f t="shared" si="10"/>
        <v>farooq95</v>
      </c>
      <c r="Q96" t="str">
        <f t="shared" si="11"/>
        <v>zoya farooq95</v>
      </c>
      <c r="R96">
        <v>95</v>
      </c>
      <c r="S96">
        <f t="shared" si="12"/>
        <v>4</v>
      </c>
      <c r="T96">
        <f t="shared" si="13"/>
        <v>4</v>
      </c>
    </row>
    <row r="97" spans="1:20" x14ac:dyDescent="0.35">
      <c r="A97" s="1" t="s">
        <v>368</v>
      </c>
      <c r="B97" s="1" t="s">
        <v>74</v>
      </c>
      <c r="C97" s="1" t="s">
        <v>42</v>
      </c>
      <c r="D97" s="1" t="str">
        <f t="shared" si="7"/>
        <v>Fatima Sheikh</v>
      </c>
      <c r="E97" s="1" t="str">
        <f t="shared" si="8"/>
        <v>FatimaSheikh</v>
      </c>
      <c r="F97" s="1" t="s">
        <v>248</v>
      </c>
      <c r="G97" s="1" t="s">
        <v>369</v>
      </c>
      <c r="H97" s="1" t="str">
        <f>SUBSTITUTE(G97,"edu","edu")</f>
        <v>fatima.sheikh96@school.edu</v>
      </c>
      <c r="I97" s="1" t="str" cm="1">
        <f t="array" ref="I97:J97">_xlfn.TEXTSPLIT(G97,"@")</f>
        <v>fatima.sheikh96</v>
      </c>
      <c r="J97" s="1" t="str">
        <v>school.edu</v>
      </c>
      <c r="K97" s="4" t="s">
        <v>370</v>
      </c>
      <c r="L97" s="1" t="s">
        <v>19</v>
      </c>
      <c r="M97">
        <v>9</v>
      </c>
      <c r="N97" s="4" t="s">
        <v>25</v>
      </c>
      <c r="O97" t="str">
        <f t="shared" si="9"/>
        <v>fatima</v>
      </c>
      <c r="P97" t="str">
        <f t="shared" si="10"/>
        <v>sheikh96</v>
      </c>
      <c r="Q97" t="str">
        <f t="shared" si="11"/>
        <v>fatima sheikh96</v>
      </c>
      <c r="R97">
        <v>96</v>
      </c>
      <c r="S97">
        <f t="shared" si="12"/>
        <v>2</v>
      </c>
      <c r="T97">
        <f t="shared" si="13"/>
        <v>2</v>
      </c>
    </row>
    <row r="98" spans="1:20" x14ac:dyDescent="0.35">
      <c r="A98" s="1" t="s">
        <v>371</v>
      </c>
      <c r="B98" s="1" t="s">
        <v>9</v>
      </c>
      <c r="C98" s="1" t="s">
        <v>42</v>
      </c>
      <c r="D98" s="1" t="str">
        <f t="shared" si="7"/>
        <v>Ahmed Sheikh</v>
      </c>
      <c r="E98" s="1" t="str">
        <f t="shared" si="8"/>
        <v>AhmedSheikh</v>
      </c>
      <c r="F98" s="1" t="s">
        <v>248</v>
      </c>
      <c r="G98" s="1" t="s">
        <v>372</v>
      </c>
      <c r="H98" s="1" t="str">
        <f>SUBSTITUTE(G98,"edu","edu")</f>
        <v>ahmed.sheikh97@school.edu</v>
      </c>
      <c r="I98" s="1" t="str" cm="1">
        <f t="array" ref="I98:J98">_xlfn.TEXTSPLIT(G98,"@")</f>
        <v>ahmed.sheikh97</v>
      </c>
      <c r="J98" s="1" t="str">
        <v>school.edu</v>
      </c>
      <c r="K98" s="4" t="s">
        <v>373</v>
      </c>
      <c r="L98" s="1" t="s">
        <v>32</v>
      </c>
      <c r="M98">
        <v>10</v>
      </c>
      <c r="N98" s="4" t="s">
        <v>14</v>
      </c>
      <c r="O98" t="str">
        <f t="shared" si="9"/>
        <v>ahmed</v>
      </c>
      <c r="P98" t="str">
        <f t="shared" si="10"/>
        <v>sheikh97</v>
      </c>
      <c r="Q98" t="str">
        <f t="shared" si="11"/>
        <v>ahmed sheikh97</v>
      </c>
      <c r="R98">
        <v>97</v>
      </c>
      <c r="S98">
        <f t="shared" si="12"/>
        <v>1</v>
      </c>
      <c r="T98">
        <f t="shared" si="13"/>
        <v>1</v>
      </c>
    </row>
    <row r="99" spans="1:20" x14ac:dyDescent="0.35">
      <c r="A99" s="1" t="s">
        <v>374</v>
      </c>
      <c r="B99" s="1" t="s">
        <v>52</v>
      </c>
      <c r="C99" s="1" t="s">
        <v>143</v>
      </c>
      <c r="D99" s="1" t="str">
        <f t="shared" si="7"/>
        <v>Usman Farooq</v>
      </c>
      <c r="E99" s="1" t="str">
        <f t="shared" si="8"/>
        <v>UsmanFarooq</v>
      </c>
      <c r="F99" s="1" t="s">
        <v>362</v>
      </c>
      <c r="G99" s="1" t="s">
        <v>375</v>
      </c>
      <c r="H99" s="1" t="str">
        <f>SUBSTITUTE(G99,"edu","edu")</f>
        <v>usman.farooq98@school.edu</v>
      </c>
      <c r="I99" s="1" t="str" cm="1">
        <f t="array" ref="I99:J99">_xlfn.TEXTSPLIT(G99,"@")</f>
        <v>usman.farooq98</v>
      </c>
      <c r="J99" s="1" t="str">
        <v>school.edu</v>
      </c>
      <c r="K99" s="4" t="s">
        <v>376</v>
      </c>
      <c r="L99" s="1" t="s">
        <v>62</v>
      </c>
      <c r="M99">
        <v>10</v>
      </c>
      <c r="N99" s="4" t="s">
        <v>14</v>
      </c>
      <c r="O99" t="str">
        <f t="shared" si="9"/>
        <v>usman</v>
      </c>
      <c r="P99" t="str">
        <f t="shared" si="10"/>
        <v>farooq98</v>
      </c>
      <c r="Q99" t="str">
        <f t="shared" si="11"/>
        <v>usman farooq98</v>
      </c>
      <c r="R99">
        <v>98</v>
      </c>
      <c r="S99">
        <f t="shared" si="12"/>
        <v>4</v>
      </c>
      <c r="T99">
        <f t="shared" si="13"/>
        <v>4</v>
      </c>
    </row>
    <row r="100" spans="1:20" x14ac:dyDescent="0.35">
      <c r="A100" s="1" t="s">
        <v>377</v>
      </c>
      <c r="B100" s="1" t="s">
        <v>41</v>
      </c>
      <c r="C100" s="1" t="s">
        <v>143</v>
      </c>
      <c r="D100" s="1" t="str">
        <f t="shared" si="7"/>
        <v>Zain Farooq</v>
      </c>
      <c r="E100" s="1" t="str">
        <f t="shared" si="8"/>
        <v>ZainFarooq</v>
      </c>
      <c r="F100" s="1" t="s">
        <v>144</v>
      </c>
      <c r="G100" s="1" t="s">
        <v>378</v>
      </c>
      <c r="H100" s="1" t="str">
        <f>SUBSTITUTE(G100,"edu","edu")</f>
        <v>zain.farooq99@school.edu</v>
      </c>
      <c r="I100" s="1" t="str" cm="1">
        <f t="array" ref="I100:J100">_xlfn.TEXTSPLIT(G100,"@")</f>
        <v>zain.farooq99</v>
      </c>
      <c r="J100" s="1" t="str">
        <v>school.edu</v>
      </c>
      <c r="K100" s="4" t="s">
        <v>379</v>
      </c>
      <c r="L100" s="1" t="s">
        <v>62</v>
      </c>
      <c r="M100">
        <v>9</v>
      </c>
      <c r="N100" s="4" t="s">
        <v>14</v>
      </c>
      <c r="O100" t="str">
        <f t="shared" si="9"/>
        <v>zain</v>
      </c>
      <c r="P100" t="str">
        <f t="shared" si="10"/>
        <v>farooq99</v>
      </c>
      <c r="Q100" t="str">
        <f t="shared" si="11"/>
        <v>zain farooq99</v>
      </c>
      <c r="R100">
        <v>99</v>
      </c>
      <c r="S100">
        <f t="shared" si="12"/>
        <v>2</v>
      </c>
      <c r="T100">
        <f t="shared" si="13"/>
        <v>2</v>
      </c>
    </row>
    <row r="101" spans="1:20" x14ac:dyDescent="0.35">
      <c r="A101" s="1" t="s">
        <v>380</v>
      </c>
      <c r="B101" s="1" t="s">
        <v>52</v>
      </c>
      <c r="C101" s="1" t="s">
        <v>87</v>
      </c>
      <c r="D101" s="1" t="str">
        <f t="shared" si="7"/>
        <v>Usman Raza</v>
      </c>
      <c r="E101" s="1" t="str">
        <f t="shared" si="8"/>
        <v>UsmanRaza</v>
      </c>
      <c r="F101" s="1" t="s">
        <v>88</v>
      </c>
      <c r="G101" s="1" t="s">
        <v>381</v>
      </c>
      <c r="H101" s="1" t="str">
        <f>SUBSTITUTE(G101,"edu","edu")</f>
        <v>usman.raza100@school.edu</v>
      </c>
      <c r="I101" s="1" t="str" cm="1">
        <f t="array" ref="I101:J101">_xlfn.TEXTSPLIT(G101,"@")</f>
        <v>usman.raza100</v>
      </c>
      <c r="J101" s="1" t="str">
        <v>school.edu</v>
      </c>
      <c r="K101" s="4" t="s">
        <v>382</v>
      </c>
      <c r="L101" s="1" t="s">
        <v>62</v>
      </c>
      <c r="M101">
        <v>11</v>
      </c>
      <c r="N101" s="4" t="s">
        <v>25</v>
      </c>
      <c r="O101" t="str">
        <f t="shared" si="9"/>
        <v>usman</v>
      </c>
      <c r="P101" t="str">
        <f t="shared" si="10"/>
        <v>raza100</v>
      </c>
      <c r="Q101" t="str">
        <f t="shared" si="11"/>
        <v>usman raza100</v>
      </c>
      <c r="R101">
        <v>100</v>
      </c>
      <c r="S101">
        <f t="shared" si="12"/>
        <v>4</v>
      </c>
      <c r="T101">
        <f t="shared" si="13"/>
        <v>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Hassan</cp:lastModifiedBy>
  <dcterms:created xsi:type="dcterms:W3CDTF">2026-07-27T01:07:23Z</dcterms:created>
  <dcterms:modified xsi:type="dcterms:W3CDTF">2026-07-29T12:11:10Z</dcterms:modified>
</cp:coreProperties>
</file>