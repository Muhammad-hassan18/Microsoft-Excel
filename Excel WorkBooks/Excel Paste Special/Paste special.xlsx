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"/>
    </mc:Choice>
  </mc:AlternateContent>
  <xr:revisionPtr revIDLastSave="92" documentId="8_{B42BD892-3B90-4556-AEA7-E8222CE77484}" xr6:coauthVersionLast="47" xr6:coauthVersionMax="47" xr10:uidLastSave="{116EAE86-5EE3-4B46-9D60-D646B91E9D8F}"/>
  <bookViews>
    <workbookView xWindow="-110" yWindow="-110" windowWidth="19420" windowHeight="11020" xr2:uid="{6AB0C613-F52A-48D5-B800-A2367669FFDC}"/>
  </bookViews>
  <sheets>
    <sheet name="Sheet1" sheetId="1" r:id="rId1"/>
    <sheet name="Sheet2" sheetId="2" r:id="rId2"/>
  </sheets>
  <definedNames>
    <definedName name="_xlnm._FilterDatabase" localSheetId="0" hidden="1">Sheet1!$A$1:$I$101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74" i="1" l="1"/>
  <c r="O74" i="1"/>
  <c r="N74" i="1"/>
  <c r="P72" i="1"/>
  <c r="O72" i="1"/>
  <c r="N72" i="1"/>
  <c r="P71" i="1"/>
  <c r="O71" i="1"/>
  <c r="N71" i="1"/>
  <c r="P69" i="1"/>
  <c r="O69" i="1"/>
  <c r="N69" i="1"/>
  <c r="P67" i="1"/>
  <c r="O67" i="1"/>
  <c r="N67" i="1"/>
  <c r="H103" i="1"/>
  <c r="B3" i="2"/>
  <c r="A51" i="2"/>
  <c r="B51" i="2"/>
  <c r="C51" i="2"/>
  <c r="D51" i="2"/>
  <c r="E51" i="2"/>
  <c r="F51" i="2"/>
  <c r="G51" i="2"/>
  <c r="H51" i="2"/>
  <c r="I51" i="2"/>
  <c r="A50" i="2"/>
  <c r="B50" i="2"/>
  <c r="C50" i="2"/>
  <c r="D50" i="2"/>
  <c r="E50" i="2"/>
  <c r="F50" i="2"/>
  <c r="G50" i="2"/>
  <c r="H50" i="2"/>
  <c r="I50" i="2"/>
  <c r="A48" i="2"/>
  <c r="B48" i="2"/>
  <c r="C48" i="2"/>
  <c r="D48" i="2"/>
  <c r="E48" i="2"/>
  <c r="F48" i="2"/>
  <c r="G48" i="2"/>
  <c r="H48" i="2"/>
  <c r="I48" i="2"/>
  <c r="A49" i="2"/>
  <c r="B49" i="2"/>
  <c r="C49" i="2"/>
  <c r="D49" i="2"/>
  <c r="E49" i="2"/>
  <c r="F49" i="2"/>
  <c r="G49" i="2"/>
  <c r="H49" i="2"/>
  <c r="I49" i="2"/>
  <c r="A47" i="2"/>
  <c r="B47" i="2"/>
  <c r="C47" i="2"/>
  <c r="D47" i="2"/>
  <c r="E47" i="2"/>
  <c r="F47" i="2"/>
  <c r="G47" i="2"/>
  <c r="H47" i="2"/>
  <c r="I47" i="2"/>
  <c r="A46" i="2"/>
  <c r="B46" i="2"/>
  <c r="C46" i="2"/>
  <c r="D46" i="2"/>
  <c r="E46" i="2"/>
  <c r="F46" i="2"/>
  <c r="G46" i="2"/>
  <c r="H46" i="2"/>
  <c r="I46" i="2"/>
  <c r="A45" i="2"/>
  <c r="B45" i="2"/>
  <c r="C45" i="2"/>
  <c r="D45" i="2"/>
  <c r="E45" i="2"/>
  <c r="F45" i="2"/>
  <c r="G45" i="2"/>
  <c r="H45" i="2"/>
  <c r="I45" i="2"/>
  <c r="A44" i="2"/>
  <c r="B44" i="2"/>
  <c r="C44" i="2"/>
  <c r="D44" i="2"/>
  <c r="E44" i="2"/>
  <c r="F44" i="2"/>
  <c r="G44" i="2"/>
  <c r="H44" i="2"/>
  <c r="I44" i="2"/>
  <c r="A43" i="2"/>
  <c r="B43" i="2"/>
  <c r="C43" i="2"/>
  <c r="D43" i="2"/>
  <c r="E43" i="2"/>
  <c r="F43" i="2"/>
  <c r="G43" i="2"/>
  <c r="H43" i="2"/>
  <c r="I43" i="2"/>
  <c r="A42" i="2"/>
  <c r="B42" i="2"/>
  <c r="C42" i="2"/>
  <c r="D42" i="2"/>
  <c r="E42" i="2"/>
  <c r="F42" i="2"/>
  <c r="G42" i="2"/>
  <c r="H42" i="2"/>
  <c r="I42" i="2"/>
  <c r="A41" i="2"/>
  <c r="B41" i="2"/>
  <c r="C41" i="2"/>
  <c r="D41" i="2"/>
  <c r="E41" i="2"/>
  <c r="F41" i="2"/>
  <c r="G41" i="2"/>
  <c r="H41" i="2"/>
  <c r="I41" i="2"/>
  <c r="A40" i="2"/>
  <c r="B40" i="2"/>
  <c r="C40" i="2"/>
  <c r="D40" i="2"/>
  <c r="E40" i="2"/>
  <c r="F40" i="2"/>
  <c r="G40" i="2"/>
  <c r="H40" i="2"/>
  <c r="I40" i="2"/>
  <c r="A39" i="2"/>
  <c r="B39" i="2"/>
  <c r="C39" i="2"/>
  <c r="D39" i="2"/>
  <c r="E39" i="2"/>
  <c r="F39" i="2"/>
  <c r="G39" i="2"/>
  <c r="H39" i="2"/>
  <c r="I39" i="2"/>
  <c r="A38" i="2"/>
  <c r="B38" i="2"/>
  <c r="C38" i="2"/>
  <c r="D38" i="2"/>
  <c r="E38" i="2"/>
  <c r="F38" i="2"/>
  <c r="G38" i="2"/>
  <c r="H38" i="2"/>
  <c r="I38" i="2"/>
  <c r="A37" i="2"/>
  <c r="B37" i="2"/>
  <c r="C37" i="2"/>
  <c r="D37" i="2"/>
  <c r="E37" i="2"/>
  <c r="F37" i="2"/>
  <c r="G37" i="2"/>
  <c r="H37" i="2"/>
  <c r="I37" i="2"/>
  <c r="A36" i="2"/>
  <c r="B36" i="2"/>
  <c r="C36" i="2"/>
  <c r="D36" i="2"/>
  <c r="E36" i="2"/>
  <c r="F36" i="2"/>
  <c r="G36" i="2"/>
  <c r="H36" i="2"/>
  <c r="I36" i="2"/>
  <c r="A35" i="2"/>
  <c r="B35" i="2"/>
  <c r="C35" i="2"/>
  <c r="D35" i="2"/>
  <c r="E35" i="2"/>
  <c r="F35" i="2"/>
  <c r="G35" i="2"/>
  <c r="H35" i="2"/>
  <c r="I35" i="2"/>
  <c r="A34" i="2"/>
  <c r="B34" i="2"/>
  <c r="C34" i="2"/>
  <c r="D34" i="2"/>
  <c r="E34" i="2"/>
  <c r="F34" i="2"/>
  <c r="G34" i="2"/>
  <c r="H34" i="2"/>
  <c r="I34" i="2"/>
  <c r="A32" i="2"/>
  <c r="B32" i="2"/>
  <c r="C32" i="2"/>
  <c r="D32" i="2"/>
  <c r="E32" i="2"/>
  <c r="F32" i="2"/>
  <c r="G32" i="2"/>
  <c r="H32" i="2"/>
  <c r="I32" i="2"/>
  <c r="A33" i="2"/>
  <c r="B33" i="2"/>
  <c r="C33" i="2"/>
  <c r="D33" i="2"/>
  <c r="E33" i="2"/>
  <c r="F33" i="2"/>
  <c r="G33" i="2"/>
  <c r="H33" i="2"/>
  <c r="I33" i="2"/>
  <c r="A31" i="2"/>
  <c r="B31" i="2"/>
  <c r="C31" i="2"/>
  <c r="D31" i="2"/>
  <c r="E31" i="2"/>
  <c r="F31" i="2"/>
  <c r="G31" i="2"/>
  <c r="H31" i="2"/>
  <c r="I31" i="2"/>
  <c r="A30" i="2"/>
  <c r="B30" i="2"/>
  <c r="C30" i="2"/>
  <c r="D30" i="2"/>
  <c r="E30" i="2"/>
  <c r="F30" i="2"/>
  <c r="G30" i="2"/>
  <c r="H30" i="2"/>
  <c r="I30" i="2"/>
  <c r="A29" i="2"/>
  <c r="B29" i="2"/>
  <c r="C29" i="2"/>
  <c r="D29" i="2"/>
  <c r="E29" i="2"/>
  <c r="F29" i="2"/>
  <c r="G29" i="2"/>
  <c r="H29" i="2"/>
  <c r="I29" i="2"/>
  <c r="A28" i="2"/>
  <c r="B28" i="2"/>
  <c r="C28" i="2"/>
  <c r="D28" i="2"/>
  <c r="E28" i="2"/>
  <c r="F28" i="2"/>
  <c r="G28" i="2"/>
  <c r="H28" i="2"/>
  <c r="I28" i="2"/>
  <c r="A27" i="2"/>
  <c r="B27" i="2"/>
  <c r="C27" i="2"/>
  <c r="D27" i="2"/>
  <c r="E27" i="2"/>
  <c r="F27" i="2"/>
  <c r="G27" i="2"/>
  <c r="H27" i="2"/>
  <c r="I27" i="2"/>
  <c r="A26" i="2"/>
  <c r="B26" i="2"/>
  <c r="C26" i="2"/>
  <c r="D26" i="2"/>
  <c r="E26" i="2"/>
  <c r="F26" i="2"/>
  <c r="G26" i="2"/>
  <c r="H26" i="2"/>
  <c r="I26" i="2"/>
  <c r="A25" i="2"/>
  <c r="B25" i="2"/>
  <c r="C25" i="2"/>
  <c r="D25" i="2"/>
  <c r="E25" i="2"/>
  <c r="F25" i="2"/>
  <c r="G25" i="2"/>
  <c r="H25" i="2"/>
  <c r="I25" i="2"/>
  <c r="A23" i="2"/>
  <c r="B23" i="2"/>
  <c r="C23" i="2"/>
  <c r="D23" i="2"/>
  <c r="E23" i="2"/>
  <c r="F23" i="2"/>
  <c r="G23" i="2"/>
  <c r="H23" i="2"/>
  <c r="I23" i="2"/>
  <c r="A24" i="2"/>
  <c r="B24" i="2"/>
  <c r="C24" i="2"/>
  <c r="D24" i="2"/>
  <c r="E24" i="2"/>
  <c r="F24" i="2"/>
  <c r="G24" i="2"/>
  <c r="H24" i="2"/>
  <c r="I24" i="2"/>
  <c r="A22" i="2"/>
  <c r="B22" i="2"/>
  <c r="C22" i="2"/>
  <c r="D22" i="2"/>
  <c r="E22" i="2"/>
  <c r="F22" i="2"/>
  <c r="G22" i="2"/>
  <c r="H22" i="2"/>
  <c r="I22" i="2"/>
  <c r="A21" i="2"/>
  <c r="B21" i="2"/>
  <c r="C21" i="2"/>
  <c r="D21" i="2"/>
  <c r="E21" i="2"/>
  <c r="F21" i="2"/>
  <c r="G21" i="2"/>
  <c r="H21" i="2"/>
  <c r="I21" i="2"/>
  <c r="A20" i="2"/>
  <c r="B20" i="2"/>
  <c r="C20" i="2"/>
  <c r="D20" i="2"/>
  <c r="E20" i="2"/>
  <c r="F20" i="2"/>
  <c r="G20" i="2"/>
  <c r="H20" i="2"/>
  <c r="I20" i="2"/>
  <c r="A19" i="2"/>
  <c r="B19" i="2"/>
  <c r="C19" i="2"/>
  <c r="D19" i="2"/>
  <c r="E19" i="2"/>
  <c r="F19" i="2"/>
  <c r="G19" i="2"/>
  <c r="H19" i="2"/>
  <c r="I19" i="2"/>
  <c r="A18" i="2"/>
  <c r="B18" i="2"/>
  <c r="C18" i="2"/>
  <c r="D18" i="2"/>
  <c r="E18" i="2"/>
  <c r="F18" i="2"/>
  <c r="G18" i="2"/>
  <c r="H18" i="2"/>
  <c r="I18" i="2"/>
  <c r="A17" i="2"/>
  <c r="B17" i="2"/>
  <c r="C17" i="2"/>
  <c r="D17" i="2"/>
  <c r="E17" i="2"/>
  <c r="F17" i="2"/>
  <c r="G17" i="2"/>
  <c r="H17" i="2"/>
  <c r="I17" i="2"/>
  <c r="A16" i="2"/>
  <c r="B16" i="2"/>
  <c r="C16" i="2"/>
  <c r="D16" i="2"/>
  <c r="E16" i="2"/>
  <c r="F16" i="2"/>
  <c r="G16" i="2"/>
  <c r="H16" i="2"/>
  <c r="I16" i="2"/>
  <c r="A15" i="2"/>
  <c r="B15" i="2"/>
  <c r="C15" i="2"/>
  <c r="D15" i="2"/>
  <c r="E15" i="2"/>
  <c r="F15" i="2"/>
  <c r="G15" i="2"/>
  <c r="H15" i="2"/>
  <c r="I15" i="2"/>
  <c r="A14" i="2"/>
  <c r="B14" i="2"/>
  <c r="C14" i="2"/>
  <c r="D14" i="2"/>
  <c r="E14" i="2"/>
  <c r="F14" i="2"/>
  <c r="G14" i="2"/>
  <c r="H14" i="2"/>
  <c r="I14" i="2"/>
  <c r="A13" i="2"/>
  <c r="B13" i="2"/>
  <c r="C13" i="2"/>
  <c r="D13" i="2"/>
  <c r="E13" i="2"/>
  <c r="F13" i="2"/>
  <c r="G13" i="2"/>
  <c r="H13" i="2"/>
  <c r="I13" i="2"/>
  <c r="A12" i="2"/>
  <c r="B12" i="2"/>
  <c r="C12" i="2"/>
  <c r="D12" i="2"/>
  <c r="E12" i="2"/>
  <c r="F12" i="2"/>
  <c r="G12" i="2"/>
  <c r="H12" i="2"/>
  <c r="I12" i="2"/>
  <c r="A11" i="2"/>
  <c r="B11" i="2"/>
  <c r="C11" i="2"/>
  <c r="D11" i="2"/>
  <c r="E11" i="2"/>
  <c r="F11" i="2"/>
  <c r="G11" i="2"/>
  <c r="H11" i="2"/>
  <c r="I11" i="2"/>
  <c r="A10" i="2"/>
  <c r="B10" i="2"/>
  <c r="C10" i="2"/>
  <c r="D10" i="2"/>
  <c r="E10" i="2"/>
  <c r="F10" i="2"/>
  <c r="G10" i="2"/>
  <c r="H10" i="2"/>
  <c r="I10" i="2"/>
  <c r="A9" i="2"/>
  <c r="B9" i="2"/>
  <c r="C9" i="2"/>
  <c r="D9" i="2"/>
  <c r="E9" i="2"/>
  <c r="F9" i="2"/>
  <c r="G9" i="2"/>
  <c r="H9" i="2"/>
  <c r="I9" i="2"/>
  <c r="A8" i="2"/>
  <c r="B8" i="2"/>
  <c r="C8" i="2"/>
  <c r="D8" i="2"/>
  <c r="E8" i="2"/>
  <c r="F8" i="2"/>
  <c r="G8" i="2"/>
  <c r="H8" i="2"/>
  <c r="I8" i="2"/>
  <c r="A7" i="2"/>
  <c r="B7" i="2"/>
  <c r="C7" i="2"/>
  <c r="D7" i="2"/>
  <c r="E7" i="2"/>
  <c r="F7" i="2"/>
  <c r="G7" i="2"/>
  <c r="H7" i="2"/>
  <c r="I7" i="2"/>
  <c r="A6" i="2"/>
  <c r="B6" i="2"/>
  <c r="C6" i="2"/>
  <c r="D6" i="2"/>
  <c r="E6" i="2"/>
  <c r="F6" i="2"/>
  <c r="G6" i="2"/>
  <c r="H6" i="2"/>
  <c r="I6" i="2"/>
  <c r="A5" i="2"/>
  <c r="B5" i="2"/>
  <c r="C5" i="2"/>
  <c r="D5" i="2"/>
  <c r="E5" i="2"/>
  <c r="F5" i="2"/>
  <c r="G5" i="2"/>
  <c r="H5" i="2"/>
  <c r="I5" i="2"/>
  <c r="A4" i="2"/>
  <c r="B4" i="2"/>
  <c r="C4" i="2"/>
  <c r="D4" i="2"/>
  <c r="E4" i="2"/>
  <c r="F4" i="2"/>
  <c r="G4" i="2"/>
  <c r="H4" i="2"/>
  <c r="I4" i="2"/>
  <c r="A3" i="2"/>
  <c r="C3" i="2"/>
  <c r="D3" i="2"/>
  <c r="E3" i="2"/>
  <c r="F3" i="2"/>
  <c r="G3" i="2"/>
  <c r="H3" i="2"/>
  <c r="I3" i="2"/>
  <c r="A2" i="2"/>
  <c r="B2" i="2"/>
  <c r="C2" i="2"/>
  <c r="D2" i="2"/>
  <c r="E2" i="2"/>
  <c r="F2" i="2"/>
  <c r="G2" i="2"/>
  <c r="H2" i="2"/>
  <c r="I2" i="2"/>
  <c r="A1" i="2"/>
  <c r="B1" i="2"/>
  <c r="C1" i="2"/>
  <c r="D1" i="2"/>
  <c r="E1" i="2"/>
  <c r="F1" i="2"/>
  <c r="G1" i="2"/>
  <c r="H1" i="2"/>
  <c r="I1" i="2"/>
</calcChain>
</file>

<file path=xl/sharedStrings.xml><?xml version="1.0" encoding="utf-8"?>
<sst xmlns="http://schemas.openxmlformats.org/spreadsheetml/2006/main" count="770" uniqueCount="177">
  <si>
    <t>Student_ID</t>
  </si>
  <si>
    <t>Name</t>
  </si>
  <si>
    <t>Age</t>
  </si>
  <si>
    <t>Gender</t>
  </si>
  <si>
    <t>Department</t>
  </si>
  <si>
    <t>Semester</t>
  </si>
  <si>
    <t>City</t>
  </si>
  <si>
    <t>GPA</t>
  </si>
  <si>
    <t>Attendance</t>
  </si>
  <si>
    <t>S001</t>
  </si>
  <si>
    <t>Ali Khan</t>
  </si>
  <si>
    <t>Male</t>
  </si>
  <si>
    <t>Computer Science</t>
  </si>
  <si>
    <t>Lahore</t>
  </si>
  <si>
    <t>S002</t>
  </si>
  <si>
    <t>Ayesha Ahmed</t>
  </si>
  <si>
    <t>Female</t>
  </si>
  <si>
    <t>Software Engineering</t>
  </si>
  <si>
    <t>Karachi</t>
  </si>
  <si>
    <t>S003</t>
  </si>
  <si>
    <t>Hassan Raza</t>
  </si>
  <si>
    <t>Information Technology</t>
  </si>
  <si>
    <t>Islamabad</t>
  </si>
  <si>
    <t>S004</t>
  </si>
  <si>
    <t>Sana Malik</t>
  </si>
  <si>
    <t>Faisalabad</t>
  </si>
  <si>
    <t>S005</t>
  </si>
  <si>
    <t>Umar Farooq</t>
  </si>
  <si>
    <t>Data Science</t>
  </si>
  <si>
    <t>Multan</t>
  </si>
  <si>
    <t>S006</t>
  </si>
  <si>
    <t>Zainab Tariq</t>
  </si>
  <si>
    <t>Cyber Security</t>
  </si>
  <si>
    <t>Rawalpindi</t>
  </si>
  <si>
    <t>S007</t>
  </si>
  <si>
    <t>Bilal Aslam</t>
  </si>
  <si>
    <t>Sialkot</t>
  </si>
  <si>
    <t>S008</t>
  </si>
  <si>
    <t>Maryam Noor</t>
  </si>
  <si>
    <t>Gujranwala</t>
  </si>
  <si>
    <t>S009</t>
  </si>
  <si>
    <t>Ahmed Hassan</t>
  </si>
  <si>
    <t>Peshawar</t>
  </si>
  <si>
    <t>S010</t>
  </si>
  <si>
    <t>Laiba Khan</t>
  </si>
  <si>
    <t>S011</t>
  </si>
  <si>
    <t>Usman Ali</t>
  </si>
  <si>
    <t>S012</t>
  </si>
  <si>
    <t>Hina Akram</t>
  </si>
  <si>
    <t>S013</t>
  </si>
  <si>
    <t>S014</t>
  </si>
  <si>
    <t>Sadia Iqbal</t>
  </si>
  <si>
    <t>S015</t>
  </si>
  <si>
    <t>Arslan Shah</t>
  </si>
  <si>
    <t>S016</t>
  </si>
  <si>
    <t>Noor Fatima</t>
  </si>
  <si>
    <t>S017</t>
  </si>
  <si>
    <t>Imran Butt</t>
  </si>
  <si>
    <t>S018</t>
  </si>
  <si>
    <t>Mahnoor Ali</t>
  </si>
  <si>
    <t>S019</t>
  </si>
  <si>
    <t>S020</t>
  </si>
  <si>
    <t>S021</t>
  </si>
  <si>
    <t>Hamza Tariq</t>
  </si>
  <si>
    <t>S022</t>
  </si>
  <si>
    <t>Mehwish Khan</t>
  </si>
  <si>
    <t>S023</t>
  </si>
  <si>
    <t>Danish Malik</t>
  </si>
  <si>
    <t>S024</t>
  </si>
  <si>
    <t>Rabia Noor</t>
  </si>
  <si>
    <t>S025</t>
  </si>
  <si>
    <t>Fahad Ali</t>
  </si>
  <si>
    <t>S026</t>
  </si>
  <si>
    <t>Nida Aslam</t>
  </si>
  <si>
    <t>S027</t>
  </si>
  <si>
    <t>Zeeshan Ahmed</t>
  </si>
  <si>
    <t>S028</t>
  </si>
  <si>
    <t>Amna Tariq</t>
  </si>
  <si>
    <t>S029</t>
  </si>
  <si>
    <t>Talha Khan</t>
  </si>
  <si>
    <t>S030</t>
  </si>
  <si>
    <t>Areeba Malik</t>
  </si>
  <si>
    <t>S031</t>
  </si>
  <si>
    <t>Saad Raza</t>
  </si>
  <si>
    <t>S032</t>
  </si>
  <si>
    <t>Eman Fatima</t>
  </si>
  <si>
    <t>S033</t>
  </si>
  <si>
    <t>S034</t>
  </si>
  <si>
    <t>S035</t>
  </si>
  <si>
    <t>Ali Hassan</t>
  </si>
  <si>
    <t>S036</t>
  </si>
  <si>
    <t>S037</t>
  </si>
  <si>
    <t>Ahmed Ali</t>
  </si>
  <si>
    <t>S038</t>
  </si>
  <si>
    <t>Hoor Fatima</t>
  </si>
  <si>
    <t>S039</t>
  </si>
  <si>
    <t>Ubaid Khan</t>
  </si>
  <si>
    <t>S040</t>
  </si>
  <si>
    <t>Anum Shah</t>
  </si>
  <si>
    <t>S041</t>
  </si>
  <si>
    <t>Rizwan Ali</t>
  </si>
  <si>
    <t>S042</t>
  </si>
  <si>
    <t>Maria Noor</t>
  </si>
  <si>
    <t>S043</t>
  </si>
  <si>
    <t>S044</t>
  </si>
  <si>
    <t>S045</t>
  </si>
  <si>
    <t>Dua Khan</t>
  </si>
  <si>
    <t>S046</t>
  </si>
  <si>
    <t>Shahzaib Ali</t>
  </si>
  <si>
    <t>S047</t>
  </si>
  <si>
    <t>Komal Tariq</t>
  </si>
  <si>
    <t>S048</t>
  </si>
  <si>
    <t>Asad Malik</t>
  </si>
  <si>
    <t>S049</t>
  </si>
  <si>
    <t>Minal Noor</t>
  </si>
  <si>
    <t>S050</t>
  </si>
  <si>
    <t>Waqar Ahmed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</si>
  <si>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</si>
  <si>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</si>
  <si>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</si>
  <si>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</si>
  <si>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</si>
  <si>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</si>
  <si>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</si>
  <si>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</si>
  <si>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</si>
  <si>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</si>
  <si>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</si>
  <si>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</si>
  <si>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</si>
  <si>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Aiman Ali</t>
  </si>
  <si>
    <t>S064</t>
  </si>
  <si>
    <t>Mustafa Khan</t>
  </si>
  <si>
    <t>S065</t>
  </si>
  <si>
    <t>Fiza Noor</t>
  </si>
  <si>
    <t>S066</t>
  </si>
  <si>
    <t>Haris Ahmed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</si>
  <si>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</si>
  <si>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</si>
  <si>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</si>
  <si>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</si>
  <si>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</si>
  <si>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</si>
  <si>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</si>
  <si>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</si>
  <si>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</si>
  <si>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</si>
  <si>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</si>
  <si>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</si>
  <si>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</si>
  <si>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</si>
  <si>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</si>
  <si>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</si>
  <si>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</si>
  <si>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</si>
  <si>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</si>
  <si>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</si>
  <si>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</si>
  <si>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</si>
  <si>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</si>
  <si>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</si>
  <si>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</si>
  <si>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</si>
  <si>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</si>
  <si>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</si>
  <si>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</si>
  <si>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</si>
  <si>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</si>
  <si>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</si>
  <si>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</si>
  <si>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</si>
  <si>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 xml:space="preserve">Zain </t>
  </si>
  <si>
    <t xml:space="preserve">Maria  </t>
  </si>
  <si>
    <t xml:space="preserve">Transpose of data </t>
  </si>
  <si>
    <t>sum</t>
  </si>
  <si>
    <t>IT</t>
  </si>
  <si>
    <t>Sana zaman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</si>
</sst>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3" fillId="2" borderId="0" xfId="0" applyFont="1" applyFill="1"/>
    <xf numFmtId="0" fontId="4" fillId="3" borderId="0" xfId="0" applyFont="1" applyFill="1"/>
    <xf numFmtId="0" fontId="3" fillId="0" borderId="0" xfId="0" applyFont="1" applyFill="1"/>
    <xf numFmtId="9" fontId="3" fillId="0" borderId="0" xfId="1" applyFont="1"/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0" fillId="0" borderId="1" xfId="0" applyBorder="1"/>
    <xf numFmtId="0" fontId="2" fillId="0" borderId="0" xfId="0" applyFont="1" applyFill="1"/>
    <xf numFmtId="0" fontId="0" fillId="0" borderId="0" xfId="0" applyFill="1"/>
    <xf numFmtId="0" fontId="2" fillId="0" borderId="0" xfId="0" applyFont="1" applyFill="1" applyAlignment="1"/>
    <xf numFmtId="0" fontId="3" fillId="5" borderId="0" xfId="0" applyFont="1" applyFill="1"/>
    <xf numFmtId="0" fontId="4" fillId="3" borderId="0" xfId="0" applyNumberFormat="1" applyFont="1" applyFill="1" applyBorder="1" applyAlignment="1" applyProtection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2F2F-EE0F-4411-BD3A-C109CB3AD141}">
  <sheetPr filterMode="1"/>
  <dimension ref="A1:BK103"/>
  <sheetViews>
    <sheetView tabSelected="1" topLeftCell="B1" zoomScaleNormal="100" workbookViewId="0">
      <selection activeCell="B35" sqref="B35"/>
    </sheetView>
  </sheetViews>
  <sheetFormatPr defaultRowHeight="14.5" x14ac:dyDescent="0.35"/>
  <cols>
    <col min="1" max="1" width="12.36328125" bestFit="1" customWidth="1"/>
    <col min="2" max="2" width="14.26953125" bestFit="1" customWidth="1"/>
    <col min="3" max="3" width="6.1796875" bestFit="1" customWidth="1"/>
    <col min="4" max="4" width="9.26953125" bestFit="1" customWidth="1"/>
    <col min="5" max="5" width="20.90625" bestFit="1" customWidth="1"/>
    <col min="6" max="6" width="10.81640625" bestFit="1" customWidth="1"/>
    <col min="7" max="7" width="10.36328125" bestFit="1" customWidth="1"/>
    <col min="8" max="8" width="7.6328125" bestFit="1" customWidth="1"/>
    <col min="9" max="9" width="12.6328125" bestFit="1" customWidth="1"/>
    <col min="13" max="13" width="11.453125" bestFit="1" customWidth="1"/>
    <col min="14" max="14" width="18.90625" bestFit="1" customWidth="1"/>
    <col min="15" max="15" width="16.08984375" bestFit="1" customWidth="1"/>
    <col min="16" max="16" width="13" bestFit="1" customWidth="1"/>
    <col min="17" max="17" width="19" bestFit="1" customWidth="1"/>
    <col min="18" max="18" width="11.81640625" bestFit="1" customWidth="1"/>
    <col min="19" max="19" width="13" bestFit="1" customWidth="1"/>
    <col min="20" max="20" width="19" bestFit="1" customWidth="1"/>
    <col min="21" max="21" width="16.08984375" bestFit="1" customWidth="1"/>
    <col min="22" max="22" width="11.81640625" bestFit="1" customWidth="1"/>
    <col min="23" max="23" width="19" bestFit="1" customWidth="1"/>
    <col min="24" max="24" width="16.08984375" bestFit="1" customWidth="1"/>
    <col min="25" max="25" width="21.54296875" bestFit="1" customWidth="1"/>
    <col min="26" max="26" width="16.08984375" bestFit="1" customWidth="1"/>
    <col min="27" max="27" width="19" bestFit="1" customWidth="1"/>
    <col min="28" max="28" width="12.26953125" bestFit="1" customWidth="1"/>
    <col min="29" max="63" width="16.08984375" bestFit="1" customWidth="1"/>
  </cols>
  <sheetData>
    <row r="1" spans="1:63" ht="15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63" hidden="1" x14ac:dyDescent="0.35">
      <c r="A2" s="1" t="s">
        <v>9</v>
      </c>
      <c r="B2" s="1" t="s">
        <v>10</v>
      </c>
      <c r="C2" s="1">
        <v>20</v>
      </c>
      <c r="D2" s="1" t="s">
        <v>11</v>
      </c>
      <c r="E2" s="1" t="s">
        <v>12</v>
      </c>
      <c r="F2" s="1">
        <v>5</v>
      </c>
      <c r="G2" s="1" t="s">
        <v>13</v>
      </c>
      <c r="H2" s="1">
        <v>3.5500000000000003</v>
      </c>
      <c r="I2" s="1">
        <v>92</v>
      </c>
    </row>
    <row r="3" spans="1:63" x14ac:dyDescent="0.35">
      <c r="A3" s="1" t="s">
        <v>14</v>
      </c>
      <c r="B3" t="s">
        <v>15</v>
      </c>
      <c r="C3" s="1">
        <v>21</v>
      </c>
      <c r="D3" s="1" t="s">
        <v>16</v>
      </c>
      <c r="E3" s="1" t="s">
        <v>17</v>
      </c>
      <c r="F3" s="1">
        <v>6</v>
      </c>
      <c r="G3" s="1" t="s">
        <v>18</v>
      </c>
      <c r="H3" s="1">
        <v>3.8000000000000003</v>
      </c>
      <c r="I3" s="5">
        <v>0.88</v>
      </c>
      <c r="K3" s="1"/>
    </row>
    <row r="4" spans="1:63" hidden="1" x14ac:dyDescent="0.35">
      <c r="A4" s="1" t="s">
        <v>19</v>
      </c>
      <c r="B4" s="1" t="s">
        <v>20</v>
      </c>
      <c r="C4" s="1">
        <v>22</v>
      </c>
      <c r="D4" s="1" t="s">
        <v>11</v>
      </c>
      <c r="E4" s="1" t="s">
        <v>21</v>
      </c>
      <c r="F4" s="1">
        <v>7</v>
      </c>
      <c r="G4" s="1" t="s">
        <v>22</v>
      </c>
      <c r="H4" s="1">
        <v>3.2100000000000004</v>
      </c>
      <c r="I4" s="1">
        <v>0.85</v>
      </c>
    </row>
    <row r="5" spans="1:63" x14ac:dyDescent="0.35">
      <c r="A5" s="1" t="s">
        <v>23</v>
      </c>
      <c r="B5" s="13" t="s">
        <v>176</v>
      </c>
      <c r="C5" s="1">
        <v>20</v>
      </c>
      <c r="D5" s="1" t="s">
        <v>16</v>
      </c>
      <c r="E5" s="1" t="s">
        <v>12</v>
      </c>
      <c r="F5" s="1">
        <v>5</v>
      </c>
      <c r="G5" s="1" t="s">
        <v>25</v>
      </c>
      <c r="H5" s="1">
        <v>3.97</v>
      </c>
      <c r="I5" s="5">
        <v>0.95</v>
      </c>
    </row>
    <row r="6" spans="1:63" hidden="1" x14ac:dyDescent="0.35">
      <c r="A6" s="1" t="s">
        <v>26</v>
      </c>
      <c r="B6" s="1" t="s">
        <v>27</v>
      </c>
      <c r="C6" s="1">
        <v>21</v>
      </c>
      <c r="D6" s="1" t="s">
        <v>11</v>
      </c>
      <c r="E6" s="1" t="s">
        <v>28</v>
      </c>
      <c r="F6" s="1">
        <v>6</v>
      </c>
      <c r="G6" s="1" t="s">
        <v>29</v>
      </c>
      <c r="H6" s="1">
        <v>3.3800000000000003</v>
      </c>
      <c r="I6" s="1">
        <v>0.81</v>
      </c>
    </row>
    <row r="7" spans="1:63" x14ac:dyDescent="0.35">
      <c r="A7" s="1" t="s">
        <v>30</v>
      </c>
      <c r="B7" s="1" t="s">
        <v>31</v>
      </c>
      <c r="C7" s="1">
        <v>22</v>
      </c>
      <c r="D7" s="1" t="s">
        <v>16</v>
      </c>
      <c r="E7" s="1" t="s">
        <v>175</v>
      </c>
      <c r="F7" s="1">
        <v>7</v>
      </c>
      <c r="G7" s="1" t="s">
        <v>33</v>
      </c>
      <c r="H7" s="1">
        <v>3.7600000000000002</v>
      </c>
      <c r="I7" s="5">
        <v>0.9</v>
      </c>
      <c r="K7" s="1"/>
      <c r="M7" s="7" t="s">
        <v>173</v>
      </c>
      <c r="N7" s="7"/>
      <c r="O7" s="7"/>
    </row>
    <row r="8" spans="1:63" ht="14.5" hidden="1" customHeight="1" x14ac:dyDescent="0.35">
      <c r="A8" s="1" t="s">
        <v>34</v>
      </c>
      <c r="B8" s="1" t="s">
        <v>35</v>
      </c>
      <c r="C8" s="1">
        <v>20</v>
      </c>
      <c r="D8" s="1" t="s">
        <v>11</v>
      </c>
      <c r="E8" s="1" t="s">
        <v>12</v>
      </c>
      <c r="F8" s="1">
        <v>5</v>
      </c>
      <c r="G8" s="1" t="s">
        <v>36</v>
      </c>
      <c r="H8" s="1">
        <v>3.0400000000000005</v>
      </c>
      <c r="I8" s="1">
        <v>0.76</v>
      </c>
      <c r="M8" s="6"/>
      <c r="N8" s="6"/>
      <c r="O8" s="6"/>
    </row>
    <row r="9" spans="1:63" x14ac:dyDescent="0.35">
      <c r="A9" s="1" t="s">
        <v>37</v>
      </c>
      <c r="B9" s="1" t="s">
        <v>38</v>
      </c>
      <c r="C9" s="1">
        <v>21</v>
      </c>
      <c r="D9" s="1" t="s">
        <v>16</v>
      </c>
      <c r="E9" s="1" t="s">
        <v>17</v>
      </c>
      <c r="F9" s="1">
        <v>6</v>
      </c>
      <c r="G9" s="1" t="s">
        <v>39</v>
      </c>
      <c r="H9" s="1">
        <v>4</v>
      </c>
      <c r="I9" s="5">
        <v>0.96</v>
      </c>
      <c r="K9" s="1"/>
      <c r="M9" s="7"/>
      <c r="N9" s="7"/>
      <c r="O9" s="7"/>
    </row>
    <row r="10" spans="1:63" ht="14.5" hidden="1" customHeight="1" x14ac:dyDescent="0.35">
      <c r="A10" s="1" t="s">
        <v>40</v>
      </c>
      <c r="B10" s="1" t="s">
        <v>41</v>
      </c>
      <c r="C10" s="1">
        <v>23</v>
      </c>
      <c r="D10" s="1" t="s">
        <v>11</v>
      </c>
      <c r="E10" s="1" t="s">
        <v>21</v>
      </c>
      <c r="F10" s="1">
        <v>8</v>
      </c>
      <c r="G10" s="1" t="s">
        <v>42</v>
      </c>
      <c r="H10" s="1">
        <v>3.2700000000000005</v>
      </c>
      <c r="I10" s="1">
        <v>0.82</v>
      </c>
      <c r="M10" s="6"/>
      <c r="N10" s="6"/>
      <c r="O10" s="6"/>
    </row>
    <row r="11" spans="1:63" x14ac:dyDescent="0.35">
      <c r="A11" s="1" t="s">
        <v>43</v>
      </c>
      <c r="B11" s="1" t="s">
        <v>44</v>
      </c>
      <c r="C11" s="1">
        <v>20</v>
      </c>
      <c r="D11" s="12" t="s">
        <v>16</v>
      </c>
      <c r="E11" s="1" t="s">
        <v>28</v>
      </c>
      <c r="F11" s="1">
        <v>5</v>
      </c>
      <c r="G11" s="1" t="s">
        <v>13</v>
      </c>
      <c r="H11" s="1">
        <v>3.64</v>
      </c>
      <c r="I11" s="5">
        <v>0.91</v>
      </c>
      <c r="M11" s="7"/>
      <c r="N11" s="7"/>
      <c r="O11" s="7"/>
    </row>
    <row r="12" spans="1:63" hidden="1" x14ac:dyDescent="0.35">
      <c r="A12" s="1" t="s">
        <v>45</v>
      </c>
      <c r="B12" s="1" t="s">
        <v>46</v>
      </c>
      <c r="C12" s="1">
        <v>21</v>
      </c>
      <c r="D12" s="1" t="s">
        <v>11</v>
      </c>
      <c r="E12" s="1" t="s">
        <v>12</v>
      </c>
      <c r="F12" s="1">
        <v>6</v>
      </c>
      <c r="G12" s="1" t="s">
        <v>18</v>
      </c>
      <c r="H12" s="1">
        <v>3.5800000000000005</v>
      </c>
      <c r="I12" s="1">
        <v>0.89</v>
      </c>
    </row>
    <row r="13" spans="1:63" x14ac:dyDescent="0.35">
      <c r="A13" s="1" t="s">
        <v>47</v>
      </c>
      <c r="B13" s="1" t="s">
        <v>48</v>
      </c>
      <c r="C13" s="1">
        <v>22</v>
      </c>
      <c r="D13" s="1" t="s">
        <v>16</v>
      </c>
      <c r="E13" s="1" t="s">
        <v>175</v>
      </c>
      <c r="F13" s="1">
        <v>7</v>
      </c>
      <c r="G13" s="1" t="s">
        <v>22</v>
      </c>
      <c r="H13" s="1">
        <v>3.89</v>
      </c>
      <c r="I13" s="5">
        <v>0.94</v>
      </c>
    </row>
    <row r="14" spans="1:63" hidden="1" x14ac:dyDescent="0.35">
      <c r="A14" s="1" t="s">
        <v>49</v>
      </c>
      <c r="B14" s="2" t="s">
        <v>171</v>
      </c>
      <c r="C14" s="1">
        <v>20</v>
      </c>
      <c r="D14" s="1" t="s">
        <v>11</v>
      </c>
      <c r="E14" s="1" t="s">
        <v>12</v>
      </c>
      <c r="F14" s="1">
        <v>5</v>
      </c>
      <c r="G14" s="1" t="s">
        <v>13</v>
      </c>
      <c r="H14" s="1">
        <v>3.2900000000000005</v>
      </c>
      <c r="I14" s="1">
        <v>0.87</v>
      </c>
    </row>
    <row r="15" spans="1:63" x14ac:dyDescent="0.35">
      <c r="A15" s="1" t="s">
        <v>50</v>
      </c>
      <c r="B15" s="12" t="s">
        <v>51</v>
      </c>
      <c r="C15" s="4">
        <v>23</v>
      </c>
      <c r="D15" s="1" t="s">
        <v>16</v>
      </c>
      <c r="E15" s="1" t="s">
        <v>17</v>
      </c>
      <c r="F15" s="1">
        <v>6</v>
      </c>
      <c r="G15" s="1" t="s">
        <v>25</v>
      </c>
      <c r="H15" s="1">
        <v>3.5000000000000004</v>
      </c>
      <c r="I15" s="5">
        <v>0.84</v>
      </c>
      <c r="M15" s="3" t="s">
        <v>0</v>
      </c>
      <c r="N15" s="1" t="s">
        <v>14</v>
      </c>
      <c r="O15" s="1" t="s">
        <v>23</v>
      </c>
      <c r="P15" s="1" t="s">
        <v>30</v>
      </c>
      <c r="Q15" s="1" t="s">
        <v>37</v>
      </c>
      <c r="R15" s="1" t="s">
        <v>43</v>
      </c>
      <c r="S15" s="1" t="s">
        <v>47</v>
      </c>
      <c r="T15" s="1" t="s">
        <v>50</v>
      </c>
      <c r="U15" s="1" t="s">
        <v>54</v>
      </c>
      <c r="V15" s="1" t="s">
        <v>58</v>
      </c>
      <c r="W15" s="1" t="s">
        <v>61</v>
      </c>
      <c r="X15" s="1" t="s">
        <v>64</v>
      </c>
      <c r="Y15" s="1" t="s">
        <v>68</v>
      </c>
      <c r="Z15" s="1" t="s">
        <v>72</v>
      </c>
      <c r="AA15" s="1" t="s">
        <v>76</v>
      </c>
      <c r="AB15" s="1" t="s">
        <v>80</v>
      </c>
      <c r="AC15" s="1" t="s">
        <v>84</v>
      </c>
      <c r="AD15" s="1" t="s">
        <v>87</v>
      </c>
      <c r="AE15" s="1" t="s">
        <v>90</v>
      </c>
      <c r="AF15" s="1" t="s">
        <v>93</v>
      </c>
      <c r="AG15" s="1" t="s">
        <v>97</v>
      </c>
      <c r="AH15" s="1" t="s">
        <v>101</v>
      </c>
      <c r="AI15" s="1" t="s">
        <v>104</v>
      </c>
      <c r="AJ15" s="1" t="s">
        <v>105</v>
      </c>
      <c r="AK15" s="1" t="s">
        <v>109</v>
      </c>
      <c r="AL15" s="1" t="s">
        <v>113</v>
      </c>
      <c r="AM15" s="1" t="s">
        <v>118</v>
      </c>
      <c r="AN15" s="1" t="s">
        <v>120</v>
      </c>
      <c r="AO15" s="1" t="s">
        <v>122</v>
      </c>
      <c r="AP15" s="1" t="s">
        <v>124</v>
      </c>
      <c r="AQ15" s="1" t="s">
        <v>126</v>
      </c>
      <c r="AR15" s="1" t="s">
        <v>128</v>
      </c>
      <c r="AS15" s="1" t="s">
        <v>129</v>
      </c>
      <c r="AT15" s="1" t="s">
        <v>133</v>
      </c>
      <c r="AU15" s="1" t="s">
        <v>137</v>
      </c>
      <c r="AV15" s="1" t="s">
        <v>139</v>
      </c>
      <c r="AW15" s="1" t="s">
        <v>142</v>
      </c>
      <c r="AX15" s="1" t="s">
        <v>144</v>
      </c>
      <c r="AY15" s="1" t="s">
        <v>146</v>
      </c>
      <c r="AZ15" s="1" t="s">
        <v>148</v>
      </c>
      <c r="BA15" s="1" t="s">
        <v>150</v>
      </c>
      <c r="BB15" s="1" t="s">
        <v>152</v>
      </c>
      <c r="BC15" s="1" t="s">
        <v>154</v>
      </c>
      <c r="BD15" s="1" t="s">
        <v>156</v>
      </c>
      <c r="BE15" s="1" t="s">
        <v>158</v>
      </c>
      <c r="BF15" s="1" t="s">
        <v>160</v>
      </c>
      <c r="BG15" s="1" t="s">
        <v>162</v>
      </c>
      <c r="BH15" s="1" t="s">
        <v>164</v>
      </c>
      <c r="BI15" s="1" t="s">
        <v>165</v>
      </c>
      <c r="BJ15" s="1" t="s">
        <v>167</v>
      </c>
      <c r="BK15" s="1" t="s">
        <v>169</v>
      </c>
    </row>
    <row r="16" spans="1:63" hidden="1" x14ac:dyDescent="0.35">
      <c r="A16" s="1" t="s">
        <v>52</v>
      </c>
      <c r="B16" s="1" t="s">
        <v>53</v>
      </c>
      <c r="C16" s="1">
        <v>21</v>
      </c>
      <c r="D16" s="1" t="s">
        <v>11</v>
      </c>
      <c r="E16" s="2" t="s">
        <v>28</v>
      </c>
      <c r="F16" s="1">
        <v>6</v>
      </c>
      <c r="G16" s="1" t="s">
        <v>29</v>
      </c>
      <c r="H16" s="1">
        <v>3.18</v>
      </c>
      <c r="I16" s="1">
        <v>0.79</v>
      </c>
      <c r="M16" s="3" t="s">
        <v>1</v>
      </c>
      <c r="N16" t="s">
        <v>15</v>
      </c>
      <c r="O16" s="1" t="s">
        <v>24</v>
      </c>
      <c r="P16" s="1" t="s">
        <v>31</v>
      </c>
      <c r="Q16" s="1" t="s">
        <v>38</v>
      </c>
      <c r="R16" s="1" t="s">
        <v>44</v>
      </c>
      <c r="S16" s="1" t="s">
        <v>48</v>
      </c>
      <c r="T16" s="1" t="s">
        <v>51</v>
      </c>
      <c r="U16" s="1" t="s">
        <v>55</v>
      </c>
      <c r="V16" s="1" t="s">
        <v>59</v>
      </c>
      <c r="W16" s="1" t="s">
        <v>15</v>
      </c>
      <c r="X16" s="1" t="s">
        <v>65</v>
      </c>
      <c r="Y16" s="1" t="s">
        <v>69</v>
      </c>
      <c r="Z16" s="1" t="s">
        <v>73</v>
      </c>
      <c r="AA16" s="1" t="s">
        <v>77</v>
      </c>
      <c r="AB16" s="1" t="s">
        <v>81</v>
      </c>
      <c r="AC16" s="1" t="s">
        <v>85</v>
      </c>
      <c r="AD16" s="1" t="s">
        <v>24</v>
      </c>
      <c r="AE16" s="4" t="s">
        <v>172</v>
      </c>
      <c r="AF16" s="1" t="s">
        <v>94</v>
      </c>
      <c r="AG16" s="1" t="s">
        <v>98</v>
      </c>
      <c r="AH16" s="1" t="s">
        <v>102</v>
      </c>
      <c r="AI16" s="1" t="s">
        <v>81</v>
      </c>
      <c r="AJ16" s="1" t="s">
        <v>106</v>
      </c>
      <c r="AK16" s="1" t="s">
        <v>110</v>
      </c>
      <c r="AL16" s="1" t="s">
        <v>114</v>
      </c>
      <c r="AM16" s="1" t="s">
        <v>15</v>
      </c>
      <c r="AN16" s="1" t="s">
        <v>24</v>
      </c>
      <c r="AO16" s="1" t="s">
        <v>31</v>
      </c>
      <c r="AP16" s="1" t="s">
        <v>38</v>
      </c>
      <c r="AQ16" s="1" t="s">
        <v>44</v>
      </c>
      <c r="AR16" s="1" t="s">
        <v>48</v>
      </c>
      <c r="AS16" s="1" t="s">
        <v>130</v>
      </c>
      <c r="AT16" s="1" t="s">
        <v>134</v>
      </c>
      <c r="AU16" s="1" t="s">
        <v>55</v>
      </c>
      <c r="AV16" s="1" t="s">
        <v>59</v>
      </c>
      <c r="AW16" s="1" t="s">
        <v>106</v>
      </c>
      <c r="AX16" s="1" t="s">
        <v>110</v>
      </c>
      <c r="AY16" s="1" t="s">
        <v>114</v>
      </c>
      <c r="AZ16" s="1" t="s">
        <v>69</v>
      </c>
      <c r="BA16" s="1" t="s">
        <v>73</v>
      </c>
      <c r="BB16" s="1" t="s">
        <v>77</v>
      </c>
      <c r="BC16" s="1" t="s">
        <v>81</v>
      </c>
      <c r="BD16" s="1" t="s">
        <v>85</v>
      </c>
      <c r="BE16" s="1" t="s">
        <v>94</v>
      </c>
      <c r="BF16" s="1" t="s">
        <v>98</v>
      </c>
      <c r="BG16" s="1" t="s">
        <v>102</v>
      </c>
      <c r="BH16" s="1" t="s">
        <v>81</v>
      </c>
      <c r="BI16" s="1" t="s">
        <v>106</v>
      </c>
      <c r="BJ16" s="1" t="s">
        <v>110</v>
      </c>
      <c r="BK16" s="1" t="s">
        <v>114</v>
      </c>
    </row>
    <row r="17" spans="1:63" x14ac:dyDescent="0.35">
      <c r="A17" s="1" t="s">
        <v>54</v>
      </c>
      <c r="B17" s="1" t="s">
        <v>55</v>
      </c>
      <c r="C17" s="1">
        <v>20</v>
      </c>
      <c r="D17" s="1" t="s">
        <v>16</v>
      </c>
      <c r="E17" s="12" t="s">
        <v>12</v>
      </c>
      <c r="F17" s="1">
        <v>5</v>
      </c>
      <c r="G17" s="4" t="s">
        <v>29</v>
      </c>
      <c r="H17" s="1">
        <v>3.8600000000000003</v>
      </c>
      <c r="I17" s="5">
        <v>0.93</v>
      </c>
      <c r="M17" s="3" t="s">
        <v>2</v>
      </c>
      <c r="N17" s="1">
        <v>21</v>
      </c>
      <c r="O17" s="1">
        <v>20</v>
      </c>
      <c r="P17" s="1">
        <v>22</v>
      </c>
      <c r="Q17" s="1">
        <v>21</v>
      </c>
      <c r="R17" s="1">
        <v>20</v>
      </c>
      <c r="S17" s="1">
        <v>22</v>
      </c>
      <c r="T17" s="4">
        <v>23</v>
      </c>
      <c r="U17" s="1">
        <v>20</v>
      </c>
      <c r="V17" s="1">
        <v>21</v>
      </c>
      <c r="W17" s="1">
        <v>21</v>
      </c>
      <c r="X17" s="1">
        <v>22</v>
      </c>
      <c r="Y17" s="1">
        <v>20</v>
      </c>
      <c r="Z17" s="1">
        <v>21</v>
      </c>
      <c r="AA17" s="1">
        <v>22</v>
      </c>
      <c r="AB17" s="1">
        <v>20</v>
      </c>
      <c r="AC17" s="1">
        <v>20</v>
      </c>
      <c r="AD17" s="1">
        <v>20</v>
      </c>
      <c r="AE17" s="1">
        <v>22</v>
      </c>
      <c r="AF17" s="1">
        <v>21</v>
      </c>
      <c r="AG17" s="1">
        <v>20</v>
      </c>
      <c r="AH17" s="1">
        <v>20</v>
      </c>
      <c r="AI17" s="1">
        <v>20</v>
      </c>
      <c r="AJ17" s="1">
        <v>22</v>
      </c>
      <c r="AK17" s="1">
        <v>20</v>
      </c>
      <c r="AL17" s="1">
        <v>21</v>
      </c>
      <c r="AM17" s="1">
        <v>21</v>
      </c>
      <c r="AN17" s="1">
        <v>20</v>
      </c>
      <c r="AO17" s="1">
        <v>22</v>
      </c>
      <c r="AP17" s="1">
        <v>21</v>
      </c>
      <c r="AQ17" s="1">
        <v>20</v>
      </c>
      <c r="AR17" s="1">
        <v>22</v>
      </c>
      <c r="AS17" s="1">
        <v>20</v>
      </c>
      <c r="AT17" s="1">
        <v>22</v>
      </c>
      <c r="AU17" s="1">
        <v>20</v>
      </c>
      <c r="AV17" s="1">
        <v>21</v>
      </c>
      <c r="AW17" s="1">
        <v>22</v>
      </c>
      <c r="AX17" s="1">
        <v>20</v>
      </c>
      <c r="AY17" s="1">
        <v>21</v>
      </c>
      <c r="AZ17" s="1">
        <v>20</v>
      </c>
      <c r="BA17" s="1">
        <v>21</v>
      </c>
      <c r="BB17" s="1">
        <v>22</v>
      </c>
      <c r="BC17" s="1">
        <v>20</v>
      </c>
      <c r="BD17" s="1">
        <v>20</v>
      </c>
      <c r="BE17" s="1">
        <v>21</v>
      </c>
      <c r="BF17" s="1">
        <v>20</v>
      </c>
      <c r="BG17" s="1">
        <v>20</v>
      </c>
      <c r="BH17" s="1">
        <v>20</v>
      </c>
      <c r="BI17" s="1">
        <v>22</v>
      </c>
      <c r="BJ17" s="1">
        <v>20</v>
      </c>
      <c r="BK17" s="1">
        <v>21</v>
      </c>
    </row>
    <row r="18" spans="1:63" hidden="1" x14ac:dyDescent="0.35">
      <c r="A18" s="1" t="s">
        <v>56</v>
      </c>
      <c r="B18" s="1" t="s">
        <v>57</v>
      </c>
      <c r="C18" s="1">
        <v>22</v>
      </c>
      <c r="D18" s="1" t="s">
        <v>11</v>
      </c>
      <c r="E18" s="1" t="s">
        <v>21</v>
      </c>
      <c r="F18" s="1">
        <v>7</v>
      </c>
      <c r="G18" s="1" t="s">
        <v>36</v>
      </c>
      <c r="H18" s="1">
        <v>3.5400000000000005</v>
      </c>
      <c r="I18" s="1">
        <v>0.88</v>
      </c>
      <c r="M18" s="3" t="s">
        <v>3</v>
      </c>
      <c r="N18" s="1" t="s">
        <v>16</v>
      </c>
      <c r="O18" s="1" t="s">
        <v>16</v>
      </c>
      <c r="P18" s="1" t="s">
        <v>16</v>
      </c>
      <c r="Q18" s="1" t="s">
        <v>16</v>
      </c>
      <c r="R18" s="1" t="s">
        <v>16</v>
      </c>
      <c r="S18" s="1" t="s">
        <v>16</v>
      </c>
      <c r="T18" s="1" t="s">
        <v>16</v>
      </c>
      <c r="U18" s="1" t="s">
        <v>16</v>
      </c>
      <c r="V18" s="1" t="s">
        <v>16</v>
      </c>
      <c r="W18" s="1" t="s">
        <v>16</v>
      </c>
      <c r="X18" s="1" t="s">
        <v>16</v>
      </c>
      <c r="Y18" s="1" t="s">
        <v>16</v>
      </c>
      <c r="Z18" s="1" t="s">
        <v>16</v>
      </c>
      <c r="AA18" s="1" t="s">
        <v>16</v>
      </c>
      <c r="AB18" s="1" t="s">
        <v>16</v>
      </c>
      <c r="AC18" s="1" t="s">
        <v>16</v>
      </c>
      <c r="AD18" s="1" t="s">
        <v>16</v>
      </c>
      <c r="AE18" s="1" t="s">
        <v>16</v>
      </c>
      <c r="AF18" s="1" t="s">
        <v>16</v>
      </c>
      <c r="AG18" s="1" t="s">
        <v>16</v>
      </c>
      <c r="AH18" s="1" t="s">
        <v>16</v>
      </c>
      <c r="AI18" s="1" t="s">
        <v>16</v>
      </c>
      <c r="AJ18" s="1" t="s">
        <v>16</v>
      </c>
      <c r="AK18" s="1" t="s">
        <v>16</v>
      </c>
      <c r="AL18" s="1" t="s">
        <v>16</v>
      </c>
      <c r="AM18" s="1" t="s">
        <v>16</v>
      </c>
      <c r="AN18" s="1" t="s">
        <v>16</v>
      </c>
      <c r="AO18" s="1" t="s">
        <v>16</v>
      </c>
      <c r="AP18" s="1" t="s">
        <v>16</v>
      </c>
      <c r="AQ18" s="1" t="s">
        <v>16</v>
      </c>
      <c r="AR18" s="1" t="s">
        <v>16</v>
      </c>
      <c r="AS18" s="1" t="s">
        <v>16</v>
      </c>
      <c r="AT18" s="1" t="s">
        <v>16</v>
      </c>
      <c r="AU18" s="1" t="s">
        <v>16</v>
      </c>
      <c r="AV18" s="1" t="s">
        <v>16</v>
      </c>
      <c r="AW18" s="1" t="s">
        <v>16</v>
      </c>
      <c r="AX18" s="1" t="s">
        <v>16</v>
      </c>
      <c r="AY18" s="1" t="s">
        <v>16</v>
      </c>
      <c r="AZ18" s="1" t="s">
        <v>16</v>
      </c>
      <c r="BA18" s="1" t="s">
        <v>16</v>
      </c>
      <c r="BB18" s="1" t="s">
        <v>16</v>
      </c>
      <c r="BC18" s="1" t="s">
        <v>16</v>
      </c>
      <c r="BD18" s="1" t="s">
        <v>16</v>
      </c>
      <c r="BE18" s="1" t="s">
        <v>16</v>
      </c>
      <c r="BF18" s="1" t="s">
        <v>16</v>
      </c>
      <c r="BG18" s="1" t="s">
        <v>16</v>
      </c>
      <c r="BH18" s="1" t="s">
        <v>16</v>
      </c>
      <c r="BI18" s="1" t="s">
        <v>16</v>
      </c>
      <c r="BJ18" s="1" t="s">
        <v>16</v>
      </c>
      <c r="BK18" s="1" t="s">
        <v>16</v>
      </c>
    </row>
    <row r="19" spans="1:63" x14ac:dyDescent="0.35">
      <c r="A19" s="1" t="s">
        <v>58</v>
      </c>
      <c r="B19" s="1" t="s">
        <v>59</v>
      </c>
      <c r="C19" s="1">
        <v>21</v>
      </c>
      <c r="D19" s="1" t="s">
        <v>16</v>
      </c>
      <c r="E19" s="1" t="s">
        <v>28</v>
      </c>
      <c r="F19" s="1">
        <v>6</v>
      </c>
      <c r="G19" s="1" t="s">
        <v>39</v>
      </c>
      <c r="H19" s="1">
        <v>3.7500000000000004</v>
      </c>
      <c r="I19" s="5">
        <v>0.88</v>
      </c>
      <c r="M19" s="3" t="s">
        <v>4</v>
      </c>
      <c r="N19" s="1" t="s">
        <v>17</v>
      </c>
      <c r="O19" s="1" t="s">
        <v>12</v>
      </c>
      <c r="P19" s="1" t="s">
        <v>175</v>
      </c>
      <c r="Q19" s="1" t="s">
        <v>17</v>
      </c>
      <c r="R19" s="1" t="s">
        <v>28</v>
      </c>
      <c r="S19" s="1" t="s">
        <v>175</v>
      </c>
      <c r="T19" s="1" t="s">
        <v>17</v>
      </c>
      <c r="U19" s="1" t="s">
        <v>12</v>
      </c>
      <c r="V19" s="1" t="s">
        <v>28</v>
      </c>
      <c r="W19" s="1" t="s">
        <v>17</v>
      </c>
      <c r="X19" s="1" t="s">
        <v>12</v>
      </c>
      <c r="Y19" s="1" t="s">
        <v>21</v>
      </c>
      <c r="Z19" s="1" t="s">
        <v>12</v>
      </c>
      <c r="AA19" s="1" t="s">
        <v>17</v>
      </c>
      <c r="AB19" s="1" t="s">
        <v>28</v>
      </c>
      <c r="AC19" s="1" t="s">
        <v>12</v>
      </c>
      <c r="AD19" s="1" t="s">
        <v>12</v>
      </c>
      <c r="AE19" s="1" t="s">
        <v>12</v>
      </c>
      <c r="AF19" s="1" t="s">
        <v>12</v>
      </c>
      <c r="AG19" s="1" t="s">
        <v>12</v>
      </c>
      <c r="AH19" s="1" t="s">
        <v>12</v>
      </c>
      <c r="AI19" s="1" t="s">
        <v>12</v>
      </c>
      <c r="AJ19" s="1" t="s">
        <v>12</v>
      </c>
      <c r="AK19" s="1" t="s">
        <v>12</v>
      </c>
      <c r="AL19" s="1" t="s">
        <v>12</v>
      </c>
      <c r="AM19" s="1" t="s">
        <v>12</v>
      </c>
      <c r="AN19" s="1" t="s">
        <v>12</v>
      </c>
      <c r="AO19" s="1" t="s">
        <v>12</v>
      </c>
      <c r="AP19" s="1" t="s">
        <v>12</v>
      </c>
      <c r="AQ19" s="1" t="s">
        <v>12</v>
      </c>
      <c r="AR19" s="1" t="s">
        <v>12</v>
      </c>
      <c r="AS19" s="1" t="s">
        <v>12</v>
      </c>
      <c r="AT19" s="1" t="s">
        <v>12</v>
      </c>
      <c r="AU19" s="1" t="s">
        <v>12</v>
      </c>
      <c r="AV19" s="1" t="s">
        <v>12</v>
      </c>
      <c r="AW19" s="1" t="s">
        <v>12</v>
      </c>
      <c r="AX19" s="1" t="s">
        <v>12</v>
      </c>
      <c r="AY19" s="1" t="s">
        <v>12</v>
      </c>
      <c r="AZ19" s="1" t="s">
        <v>12</v>
      </c>
      <c r="BA19" s="1" t="s">
        <v>12</v>
      </c>
      <c r="BB19" s="1" t="s">
        <v>12</v>
      </c>
      <c r="BC19" s="1" t="s">
        <v>12</v>
      </c>
      <c r="BD19" s="1" t="s">
        <v>12</v>
      </c>
      <c r="BE19" s="1" t="s">
        <v>12</v>
      </c>
      <c r="BF19" s="1" t="s">
        <v>12</v>
      </c>
      <c r="BG19" s="1" t="s">
        <v>12</v>
      </c>
      <c r="BH19" s="1" t="s">
        <v>12</v>
      </c>
      <c r="BI19" s="1" t="s">
        <v>12</v>
      </c>
      <c r="BJ19" s="1" t="s">
        <v>12</v>
      </c>
      <c r="BK19" s="1" t="s">
        <v>12</v>
      </c>
    </row>
    <row r="20" spans="1:63" hidden="1" x14ac:dyDescent="0.35">
      <c r="A20" s="1" t="s">
        <v>60</v>
      </c>
      <c r="B20" s="1" t="s">
        <v>10</v>
      </c>
      <c r="C20" s="1">
        <v>20</v>
      </c>
      <c r="D20" s="1" t="s">
        <v>11</v>
      </c>
      <c r="E20" s="1" t="s">
        <v>12</v>
      </c>
      <c r="F20" s="1">
        <v>5</v>
      </c>
      <c r="G20" s="1" t="s">
        <v>13</v>
      </c>
      <c r="H20" s="1">
        <v>3.5400000000000005</v>
      </c>
      <c r="I20" s="1">
        <v>0.92</v>
      </c>
      <c r="M20" s="3" t="s">
        <v>5</v>
      </c>
      <c r="N20" s="1">
        <v>6</v>
      </c>
      <c r="O20" s="1">
        <v>5</v>
      </c>
      <c r="P20" s="1">
        <v>7</v>
      </c>
      <c r="Q20" s="1">
        <v>6</v>
      </c>
      <c r="R20" s="1">
        <v>5</v>
      </c>
      <c r="S20" s="1">
        <v>7</v>
      </c>
      <c r="T20" s="1">
        <v>6</v>
      </c>
      <c r="U20" s="1">
        <v>5</v>
      </c>
      <c r="V20" s="1">
        <v>6</v>
      </c>
      <c r="W20" s="1">
        <v>6</v>
      </c>
      <c r="X20" s="1">
        <v>7</v>
      </c>
      <c r="Y20" s="1">
        <v>5</v>
      </c>
      <c r="Z20" s="1">
        <v>6</v>
      </c>
      <c r="AA20" s="1">
        <v>7</v>
      </c>
      <c r="AB20" s="1">
        <v>5</v>
      </c>
      <c r="AC20" s="1">
        <v>5</v>
      </c>
      <c r="AD20" s="1">
        <v>5</v>
      </c>
      <c r="AE20" s="1">
        <v>7</v>
      </c>
      <c r="AF20" s="1">
        <v>6</v>
      </c>
      <c r="AG20" s="1">
        <v>5</v>
      </c>
      <c r="AH20" s="1">
        <v>5</v>
      </c>
      <c r="AI20" s="1">
        <v>5</v>
      </c>
      <c r="AJ20" s="1">
        <v>7</v>
      </c>
      <c r="AK20" s="1">
        <v>5</v>
      </c>
      <c r="AL20" s="1">
        <v>6</v>
      </c>
      <c r="AM20" s="1">
        <v>6</v>
      </c>
      <c r="AN20" s="1">
        <v>5</v>
      </c>
      <c r="AO20" s="1">
        <v>7</v>
      </c>
      <c r="AP20" s="1">
        <v>6</v>
      </c>
      <c r="AQ20" s="1">
        <v>5</v>
      </c>
      <c r="AR20" s="1">
        <v>7</v>
      </c>
      <c r="AS20" s="1">
        <v>5</v>
      </c>
      <c r="AT20" s="1">
        <v>7</v>
      </c>
      <c r="AU20" s="1">
        <v>5</v>
      </c>
      <c r="AV20" s="1">
        <v>6</v>
      </c>
      <c r="AW20" s="1">
        <v>7</v>
      </c>
      <c r="AX20" s="1">
        <v>5</v>
      </c>
      <c r="AY20" s="1">
        <v>6</v>
      </c>
      <c r="AZ20" s="1">
        <v>5</v>
      </c>
      <c r="BA20" s="1">
        <v>6</v>
      </c>
      <c r="BB20" s="1">
        <v>7</v>
      </c>
      <c r="BC20" s="1">
        <v>5</v>
      </c>
      <c r="BD20" s="1">
        <v>5</v>
      </c>
      <c r="BE20" s="1">
        <v>6</v>
      </c>
      <c r="BF20" s="1">
        <v>5</v>
      </c>
      <c r="BG20" s="1">
        <v>5</v>
      </c>
      <c r="BH20" s="1">
        <v>5</v>
      </c>
      <c r="BI20" s="1">
        <v>7</v>
      </c>
      <c r="BJ20" s="1">
        <v>5</v>
      </c>
      <c r="BK20" s="1">
        <v>6</v>
      </c>
    </row>
    <row r="21" spans="1:63" x14ac:dyDescent="0.35">
      <c r="A21" s="1" t="s">
        <v>61</v>
      </c>
      <c r="B21" s="12" t="s">
        <v>15</v>
      </c>
      <c r="C21" s="1">
        <v>21</v>
      </c>
      <c r="D21" s="1" t="s">
        <v>16</v>
      </c>
      <c r="E21" s="1" t="s">
        <v>17</v>
      </c>
      <c r="F21" s="1">
        <v>6</v>
      </c>
      <c r="G21" s="1" t="s">
        <v>18</v>
      </c>
      <c r="H21" s="1">
        <v>3.8000000000000003</v>
      </c>
      <c r="I21" s="5">
        <v>0.88</v>
      </c>
      <c r="M21" s="3" t="s">
        <v>6</v>
      </c>
      <c r="N21" s="1" t="s">
        <v>18</v>
      </c>
      <c r="O21" s="1" t="s">
        <v>25</v>
      </c>
      <c r="P21" s="1" t="s">
        <v>33</v>
      </c>
      <c r="Q21" s="1" t="s">
        <v>39</v>
      </c>
      <c r="R21" s="1" t="s">
        <v>13</v>
      </c>
      <c r="S21" s="1" t="s">
        <v>22</v>
      </c>
      <c r="T21" s="1" t="s">
        <v>25</v>
      </c>
      <c r="U21" s="4" t="s">
        <v>29</v>
      </c>
      <c r="V21" s="1" t="s">
        <v>39</v>
      </c>
      <c r="W21" s="1" t="s">
        <v>18</v>
      </c>
      <c r="X21" s="1" t="s">
        <v>29</v>
      </c>
      <c r="Y21" s="1" t="s">
        <v>18</v>
      </c>
      <c r="Z21" s="1" t="s">
        <v>36</v>
      </c>
      <c r="AA21" s="1" t="s">
        <v>13</v>
      </c>
      <c r="AB21" s="1" t="s">
        <v>22</v>
      </c>
      <c r="AC21" s="1" t="s">
        <v>13</v>
      </c>
      <c r="AD21" s="1" t="s">
        <v>25</v>
      </c>
      <c r="AE21" s="1" t="s">
        <v>29</v>
      </c>
      <c r="AF21" s="1" t="s">
        <v>13</v>
      </c>
      <c r="AG21" s="1" t="s">
        <v>25</v>
      </c>
      <c r="AH21" s="1" t="s">
        <v>22</v>
      </c>
      <c r="AI21" s="1" t="s">
        <v>22</v>
      </c>
      <c r="AJ21" s="1" t="s">
        <v>33</v>
      </c>
      <c r="AK21" s="1" t="s">
        <v>29</v>
      </c>
      <c r="AL21" s="1" t="s">
        <v>13</v>
      </c>
      <c r="AM21" s="1" t="s">
        <v>18</v>
      </c>
      <c r="AN21" s="1" t="s">
        <v>25</v>
      </c>
      <c r="AO21" s="1" t="s">
        <v>33</v>
      </c>
      <c r="AP21" s="1" t="s">
        <v>39</v>
      </c>
      <c r="AQ21" s="1" t="s">
        <v>13</v>
      </c>
      <c r="AR21" s="1" t="s">
        <v>22</v>
      </c>
      <c r="AS21" s="1" t="s">
        <v>13</v>
      </c>
      <c r="AT21" s="1" t="s">
        <v>29</v>
      </c>
      <c r="AU21" s="1" t="s">
        <v>13</v>
      </c>
      <c r="AV21" s="1" t="s">
        <v>39</v>
      </c>
      <c r="AW21" s="1" t="s">
        <v>33</v>
      </c>
      <c r="AX21" s="1" t="s">
        <v>29</v>
      </c>
      <c r="AY21" s="1" t="s">
        <v>13</v>
      </c>
      <c r="AZ21" s="1" t="s">
        <v>18</v>
      </c>
      <c r="BA21" s="1" t="s">
        <v>36</v>
      </c>
      <c r="BB21" s="1" t="s">
        <v>13</v>
      </c>
      <c r="BC21" s="1" t="s">
        <v>22</v>
      </c>
      <c r="BD21" s="1" t="s">
        <v>13</v>
      </c>
      <c r="BE21" s="1" t="s">
        <v>13</v>
      </c>
      <c r="BF21" s="1" t="s">
        <v>25</v>
      </c>
      <c r="BG21" s="1" t="s">
        <v>22</v>
      </c>
      <c r="BH21" s="1" t="s">
        <v>22</v>
      </c>
      <c r="BI21" s="1" t="s">
        <v>33</v>
      </c>
      <c r="BJ21" s="1" t="s">
        <v>29</v>
      </c>
      <c r="BK21" s="1" t="s">
        <v>13</v>
      </c>
    </row>
    <row r="22" spans="1:63" hidden="1" x14ac:dyDescent="0.35">
      <c r="A22" s="1" t="s">
        <v>62</v>
      </c>
      <c r="B22" s="1" t="s">
        <v>63</v>
      </c>
      <c r="C22" s="1">
        <v>20</v>
      </c>
      <c r="D22" s="1" t="s">
        <v>11</v>
      </c>
      <c r="E22" s="1" t="s">
        <v>32</v>
      </c>
      <c r="F22" s="1">
        <v>5</v>
      </c>
      <c r="G22" s="1" t="s">
        <v>13</v>
      </c>
      <c r="H22" s="1">
        <v>3.2300000000000004</v>
      </c>
      <c r="I22" s="1">
        <v>0.8</v>
      </c>
      <c r="M22" s="3" t="s">
        <v>7</v>
      </c>
      <c r="N22" s="1">
        <v>3.8000000000000003</v>
      </c>
      <c r="O22" s="1">
        <v>3.97</v>
      </c>
      <c r="P22" s="1">
        <v>3.7600000000000002</v>
      </c>
      <c r="Q22" s="1">
        <v>4</v>
      </c>
      <c r="R22" s="1">
        <v>3.64</v>
      </c>
      <c r="S22" s="1">
        <v>3.89</v>
      </c>
      <c r="T22" s="1">
        <v>3.5000000000000004</v>
      </c>
      <c r="U22" s="1">
        <v>3.8600000000000003</v>
      </c>
      <c r="V22" s="1">
        <v>3.7500000000000004</v>
      </c>
      <c r="W22" s="1">
        <v>3.8000000000000003</v>
      </c>
      <c r="X22" s="1">
        <v>3.6700000000000004</v>
      </c>
      <c r="Y22" s="1">
        <v>4.03</v>
      </c>
      <c r="Z22" s="1">
        <v>3.8200000000000003</v>
      </c>
      <c r="AA22" s="1">
        <v>3.91</v>
      </c>
      <c r="AB22" s="1">
        <v>3.7800000000000002</v>
      </c>
      <c r="AC22" s="1">
        <v>4.05</v>
      </c>
      <c r="AD22" s="1">
        <v>3.97</v>
      </c>
      <c r="AE22" s="1">
        <v>3.6100000000000003</v>
      </c>
      <c r="AF22" s="1">
        <v>3.7700000000000005</v>
      </c>
      <c r="AG22" s="1">
        <v>3.3800000000000003</v>
      </c>
      <c r="AH22" s="1">
        <v>3.87</v>
      </c>
      <c r="AI22" s="1">
        <v>3.7800000000000002</v>
      </c>
      <c r="AJ22" s="1">
        <v>3.5600000000000005</v>
      </c>
      <c r="AK22" s="1">
        <v>4.0200000000000005</v>
      </c>
      <c r="AL22" s="1">
        <v>3.8100000000000005</v>
      </c>
      <c r="AM22" s="1">
        <v>3.8000000000000003</v>
      </c>
      <c r="AN22" s="1">
        <v>3.97</v>
      </c>
      <c r="AO22" s="1">
        <v>3.7600000000000002</v>
      </c>
      <c r="AP22" s="1">
        <v>4</v>
      </c>
      <c r="AQ22" s="1">
        <v>3.64</v>
      </c>
      <c r="AR22" s="1">
        <v>3.89</v>
      </c>
      <c r="AS22" s="1">
        <v>3.6900000000000004</v>
      </c>
      <c r="AT22" s="1">
        <v>3.9200000000000004</v>
      </c>
      <c r="AU22" s="1">
        <v>3.8600000000000003</v>
      </c>
      <c r="AV22" s="1">
        <v>3.7500000000000004</v>
      </c>
      <c r="AW22" s="1">
        <v>3.5600000000000005</v>
      </c>
      <c r="AX22" s="1">
        <v>4.0200000000000005</v>
      </c>
      <c r="AY22" s="1">
        <v>3.8100000000000005</v>
      </c>
      <c r="AZ22" s="1">
        <v>4.03</v>
      </c>
      <c r="BA22" s="1">
        <v>3.8200000000000003</v>
      </c>
      <c r="BB22" s="1">
        <v>3.91</v>
      </c>
      <c r="BC22" s="1">
        <v>3.7800000000000002</v>
      </c>
      <c r="BD22" s="1">
        <v>4.05</v>
      </c>
      <c r="BE22" s="1">
        <v>3.7700000000000005</v>
      </c>
      <c r="BF22" s="1">
        <v>3.5300000000000002</v>
      </c>
      <c r="BG22" s="1">
        <v>3.87</v>
      </c>
      <c r="BH22" s="1">
        <v>3.7800000000000002</v>
      </c>
      <c r="BI22" s="1">
        <v>3.5600000000000005</v>
      </c>
      <c r="BJ22" s="1">
        <v>4.0200000000000005</v>
      </c>
      <c r="BK22" s="1">
        <v>3.8100000000000005</v>
      </c>
    </row>
    <row r="23" spans="1:63" x14ac:dyDescent="0.35">
      <c r="A23" s="1" t="s">
        <v>64</v>
      </c>
      <c r="B23" s="1" t="s">
        <v>65</v>
      </c>
      <c r="C23" s="1">
        <v>22</v>
      </c>
      <c r="D23" s="1" t="s">
        <v>16</v>
      </c>
      <c r="E23" s="12" t="s">
        <v>12</v>
      </c>
      <c r="F23" s="1">
        <v>7</v>
      </c>
      <c r="G23" s="1" t="s">
        <v>29</v>
      </c>
      <c r="H23" s="1">
        <v>3.6700000000000004</v>
      </c>
      <c r="I23" s="5">
        <v>0.9</v>
      </c>
      <c r="M23" s="3" t="s">
        <v>8</v>
      </c>
      <c r="N23" s="5">
        <v>0.88</v>
      </c>
      <c r="O23" s="5">
        <v>0.95</v>
      </c>
      <c r="P23" s="5">
        <v>0.9</v>
      </c>
      <c r="Q23" s="5">
        <v>0.96</v>
      </c>
      <c r="R23" s="5">
        <v>0.91</v>
      </c>
      <c r="S23" s="5">
        <v>0.94</v>
      </c>
      <c r="T23" s="5">
        <v>0.84</v>
      </c>
      <c r="U23" s="5">
        <v>0.93</v>
      </c>
      <c r="V23" s="5">
        <v>0.88</v>
      </c>
      <c r="W23" s="5">
        <v>0.88</v>
      </c>
      <c r="X23" s="5">
        <v>0.9</v>
      </c>
      <c r="Y23" s="5">
        <v>0.98</v>
      </c>
      <c r="Z23" s="5">
        <v>0.92</v>
      </c>
      <c r="AA23" s="5">
        <v>0.95</v>
      </c>
      <c r="AB23" s="5">
        <v>0.94</v>
      </c>
      <c r="AC23" s="5">
        <v>0.99</v>
      </c>
      <c r="AD23" s="5">
        <v>0.95</v>
      </c>
      <c r="AE23" s="5">
        <v>0.89</v>
      </c>
      <c r="AF23" s="5">
        <v>0.91</v>
      </c>
      <c r="AG23" s="5">
        <v>0.9</v>
      </c>
      <c r="AH23" s="5">
        <v>0.94</v>
      </c>
      <c r="AI23" s="5">
        <v>0.94</v>
      </c>
      <c r="AJ23" s="5">
        <v>0.88</v>
      </c>
      <c r="AK23" s="5">
        <v>0.97</v>
      </c>
      <c r="AL23" s="5">
        <v>0.93</v>
      </c>
      <c r="AM23" s="5">
        <v>0.88</v>
      </c>
      <c r="AN23" s="5">
        <v>0.95</v>
      </c>
      <c r="AO23" s="5">
        <v>0.9</v>
      </c>
      <c r="AP23" s="5">
        <v>0.96</v>
      </c>
      <c r="AQ23" s="5">
        <v>0.91</v>
      </c>
      <c r="AR23" s="5">
        <v>0.94</v>
      </c>
      <c r="AS23" s="5">
        <v>0.9</v>
      </c>
      <c r="AT23" s="5">
        <v>0.95</v>
      </c>
      <c r="AU23" s="5">
        <v>0.93</v>
      </c>
      <c r="AV23" s="5">
        <v>0.89</v>
      </c>
      <c r="AW23" s="5">
        <v>0.88</v>
      </c>
      <c r="AX23" s="5">
        <v>0.97</v>
      </c>
      <c r="AY23" s="5">
        <v>0.93</v>
      </c>
      <c r="AZ23" s="5">
        <v>0.98</v>
      </c>
      <c r="BA23" s="5">
        <v>0.92</v>
      </c>
      <c r="BB23" s="5">
        <v>0.95</v>
      </c>
      <c r="BC23" s="5">
        <v>0.94</v>
      </c>
      <c r="BD23" s="5">
        <v>0.99</v>
      </c>
      <c r="BE23" s="5">
        <v>0.91</v>
      </c>
      <c r="BF23" s="5">
        <v>0.9</v>
      </c>
      <c r="BG23" s="5">
        <v>0.94</v>
      </c>
      <c r="BH23" s="5">
        <v>0.94</v>
      </c>
      <c r="BI23" s="5">
        <v>0.88</v>
      </c>
      <c r="BJ23" s="5">
        <v>0.97</v>
      </c>
      <c r="BK23" s="5">
        <v>0.93</v>
      </c>
    </row>
    <row r="24" spans="1:63" hidden="1" x14ac:dyDescent="0.35">
      <c r="A24" s="1" t="s">
        <v>66</v>
      </c>
      <c r="B24" s="1" t="s">
        <v>67</v>
      </c>
      <c r="C24" s="1">
        <v>21</v>
      </c>
      <c r="D24" s="1" t="s">
        <v>11</v>
      </c>
      <c r="E24" s="1" t="s">
        <v>17</v>
      </c>
      <c r="F24" s="1">
        <v>6</v>
      </c>
      <c r="G24" s="1" t="s">
        <v>25</v>
      </c>
      <c r="H24" s="1">
        <v>2.97</v>
      </c>
      <c r="I24" s="1">
        <v>0.72</v>
      </c>
    </row>
    <row r="25" spans="1:63" x14ac:dyDescent="0.35">
      <c r="A25" s="1" t="s">
        <v>68</v>
      </c>
      <c r="B25" s="1" t="s">
        <v>69</v>
      </c>
      <c r="C25" s="1">
        <v>20</v>
      </c>
      <c r="D25" s="1" t="s">
        <v>16</v>
      </c>
      <c r="E25" s="1" t="s">
        <v>21</v>
      </c>
      <c r="F25" s="1">
        <v>5</v>
      </c>
      <c r="G25" s="1" t="s">
        <v>18</v>
      </c>
      <c r="H25" s="1">
        <v>4.03</v>
      </c>
      <c r="I25" s="5">
        <v>0.98</v>
      </c>
    </row>
    <row r="26" spans="1:63" hidden="1" x14ac:dyDescent="0.35">
      <c r="A26" s="1" t="s">
        <v>70</v>
      </c>
      <c r="B26" s="1" t="s">
        <v>71</v>
      </c>
      <c r="C26" s="1">
        <v>22</v>
      </c>
      <c r="D26" s="1" t="s">
        <v>11</v>
      </c>
      <c r="E26" s="1" t="s">
        <v>28</v>
      </c>
      <c r="F26" s="1">
        <v>7</v>
      </c>
      <c r="G26" s="1" t="s">
        <v>13</v>
      </c>
      <c r="H26" s="1">
        <v>3.7</v>
      </c>
      <c r="I26" s="1">
        <v>0.91</v>
      </c>
    </row>
    <row r="27" spans="1:63" x14ac:dyDescent="0.35">
      <c r="A27" s="1" t="s">
        <v>72</v>
      </c>
      <c r="B27" s="1" t="s">
        <v>73</v>
      </c>
      <c r="C27" s="1">
        <v>21</v>
      </c>
      <c r="D27" s="1" t="s">
        <v>16</v>
      </c>
      <c r="E27" s="1" t="s">
        <v>12</v>
      </c>
      <c r="F27" s="1">
        <v>6</v>
      </c>
      <c r="G27" s="1" t="s">
        <v>36</v>
      </c>
      <c r="H27" s="1">
        <v>3.8200000000000003</v>
      </c>
      <c r="I27" s="5">
        <v>0.92</v>
      </c>
    </row>
    <row r="28" spans="1:63" hidden="1" x14ac:dyDescent="0.35">
      <c r="A28" s="1" t="s">
        <v>74</v>
      </c>
      <c r="B28" s="1" t="s">
        <v>75</v>
      </c>
      <c r="C28" s="1">
        <v>20</v>
      </c>
      <c r="D28" s="1" t="s">
        <v>11</v>
      </c>
      <c r="E28" s="1" t="s">
        <v>32</v>
      </c>
      <c r="F28" s="1">
        <v>5</v>
      </c>
      <c r="G28" s="1" t="s">
        <v>33</v>
      </c>
      <c r="H28" s="1">
        <v>3.0600000000000005</v>
      </c>
      <c r="I28" s="1">
        <v>0.77</v>
      </c>
    </row>
    <row r="29" spans="1:63" x14ac:dyDescent="0.35">
      <c r="A29" s="1" t="s">
        <v>76</v>
      </c>
      <c r="B29" s="1" t="s">
        <v>77</v>
      </c>
      <c r="C29" s="1">
        <v>22</v>
      </c>
      <c r="D29" s="12" t="s">
        <v>16</v>
      </c>
      <c r="E29" s="1" t="s">
        <v>17</v>
      </c>
      <c r="F29" s="1">
        <v>7</v>
      </c>
      <c r="G29" s="1" t="s">
        <v>13</v>
      </c>
      <c r="H29" s="1">
        <v>3.91</v>
      </c>
      <c r="I29" s="5">
        <v>0.95</v>
      </c>
      <c r="M29" s="9"/>
    </row>
    <row r="30" spans="1:63" hidden="1" x14ac:dyDescent="0.35">
      <c r="A30" s="1" t="s">
        <v>78</v>
      </c>
      <c r="B30" s="1" t="s">
        <v>79</v>
      </c>
      <c r="C30" s="1">
        <v>21</v>
      </c>
      <c r="D30" s="1" t="s">
        <v>11</v>
      </c>
      <c r="E30" s="1" t="s">
        <v>12</v>
      </c>
      <c r="F30" s="1">
        <v>6</v>
      </c>
      <c r="G30" s="1" t="s">
        <v>42</v>
      </c>
      <c r="H30" s="1">
        <v>3.2700000000000005</v>
      </c>
      <c r="I30" s="1">
        <v>0.86</v>
      </c>
    </row>
    <row r="31" spans="1:63" x14ac:dyDescent="0.35">
      <c r="A31" s="1" t="s">
        <v>80</v>
      </c>
      <c r="B31" s="1" t="s">
        <v>81</v>
      </c>
      <c r="C31" s="1">
        <v>20</v>
      </c>
      <c r="D31" s="1" t="s">
        <v>16</v>
      </c>
      <c r="E31" s="1" t="s">
        <v>28</v>
      </c>
      <c r="F31" s="1">
        <v>5</v>
      </c>
      <c r="G31" s="1" t="s">
        <v>22</v>
      </c>
      <c r="H31" s="1">
        <v>3.7800000000000002</v>
      </c>
      <c r="I31" s="5">
        <v>0.94</v>
      </c>
      <c r="R31" s="11"/>
      <c r="S31" s="11"/>
    </row>
    <row r="32" spans="1:63" hidden="1" x14ac:dyDescent="0.35">
      <c r="A32" s="1" t="s">
        <v>82</v>
      </c>
      <c r="B32" s="1" t="s">
        <v>83</v>
      </c>
      <c r="C32" s="1">
        <v>23</v>
      </c>
      <c r="D32" s="1" t="s">
        <v>11</v>
      </c>
      <c r="E32" s="1" t="s">
        <v>21</v>
      </c>
      <c r="F32" s="1">
        <v>8</v>
      </c>
      <c r="G32" s="1" t="s">
        <v>18</v>
      </c>
      <c r="H32" s="1">
        <v>3.1700000000000004</v>
      </c>
      <c r="I32" s="1">
        <v>0.83</v>
      </c>
    </row>
    <row r="33" spans="1:20" x14ac:dyDescent="0.35">
      <c r="A33" s="1" t="s">
        <v>84</v>
      </c>
      <c r="B33" s="1" t="s">
        <v>85</v>
      </c>
      <c r="C33" s="1">
        <v>20</v>
      </c>
      <c r="D33" s="1" t="s">
        <v>16</v>
      </c>
      <c r="E33" s="1" t="s">
        <v>12</v>
      </c>
      <c r="F33" s="1">
        <v>5</v>
      </c>
      <c r="G33" s="1" t="s">
        <v>13</v>
      </c>
      <c r="H33" s="1">
        <v>4.05</v>
      </c>
      <c r="I33" s="5">
        <v>0.99</v>
      </c>
      <c r="J33" s="1"/>
      <c r="R33" s="10"/>
      <c r="S33" s="10"/>
    </row>
    <row r="34" spans="1:20" hidden="1" x14ac:dyDescent="0.35">
      <c r="A34" s="1" t="s">
        <v>86</v>
      </c>
      <c r="B34" s="1" t="s">
        <v>20</v>
      </c>
      <c r="C34" s="1">
        <v>22</v>
      </c>
      <c r="D34" s="1" t="s">
        <v>11</v>
      </c>
      <c r="E34" s="1" t="s">
        <v>21</v>
      </c>
      <c r="F34" s="1">
        <v>7</v>
      </c>
      <c r="G34" s="1" t="s">
        <v>22</v>
      </c>
      <c r="H34" s="1">
        <v>3.2100000000000004</v>
      </c>
      <c r="I34" s="1">
        <v>0.85</v>
      </c>
      <c r="R34">
        <v>7</v>
      </c>
      <c r="S34">
        <v>92</v>
      </c>
      <c r="T34">
        <v>61</v>
      </c>
    </row>
    <row r="35" spans="1:20" x14ac:dyDescent="0.35">
      <c r="A35" s="1" t="s">
        <v>87</v>
      </c>
      <c r="B35" s="13" t="s">
        <v>176</v>
      </c>
      <c r="C35" s="1">
        <v>20</v>
      </c>
      <c r="D35" s="1" t="s">
        <v>16</v>
      </c>
      <c r="E35" s="12" t="s">
        <v>12</v>
      </c>
      <c r="F35" s="1">
        <v>5</v>
      </c>
      <c r="G35" s="1" t="s">
        <v>25</v>
      </c>
      <c r="H35" s="1">
        <v>3.97</v>
      </c>
      <c r="I35" s="5">
        <v>0.95</v>
      </c>
    </row>
    <row r="36" spans="1:20" hidden="1" x14ac:dyDescent="0.35">
      <c r="A36" s="1" t="s">
        <v>88</v>
      </c>
      <c r="B36" s="1" t="s">
        <v>89</v>
      </c>
      <c r="C36" s="1">
        <v>21</v>
      </c>
      <c r="D36" s="1" t="s">
        <v>11</v>
      </c>
      <c r="E36" s="1" t="s">
        <v>17</v>
      </c>
      <c r="F36" s="1">
        <v>6</v>
      </c>
      <c r="G36" s="1" t="s">
        <v>13</v>
      </c>
      <c r="H36" s="1">
        <v>3.43</v>
      </c>
      <c r="I36" s="1">
        <v>0.87</v>
      </c>
      <c r="R36">
        <v>90</v>
      </c>
      <c r="S36">
        <v>86</v>
      </c>
      <c r="T36">
        <v>32</v>
      </c>
    </row>
    <row r="37" spans="1:20" x14ac:dyDescent="0.35">
      <c r="A37" s="1" t="s">
        <v>90</v>
      </c>
      <c r="B37" s="4" t="s">
        <v>172</v>
      </c>
      <c r="C37" s="1">
        <v>22</v>
      </c>
      <c r="D37" s="1" t="s">
        <v>16</v>
      </c>
      <c r="E37" s="1" t="s">
        <v>12</v>
      </c>
      <c r="F37" s="1">
        <v>7</v>
      </c>
      <c r="G37" s="1" t="s">
        <v>29</v>
      </c>
      <c r="H37" s="1">
        <v>3.6100000000000003</v>
      </c>
      <c r="I37" s="5">
        <v>0.89</v>
      </c>
    </row>
    <row r="38" spans="1:20" hidden="1" x14ac:dyDescent="0.35">
      <c r="A38" s="1" t="s">
        <v>91</v>
      </c>
      <c r="B38" s="1" t="s">
        <v>92</v>
      </c>
      <c r="C38" s="2">
        <v>23</v>
      </c>
      <c r="D38" s="1" t="s">
        <v>11</v>
      </c>
      <c r="E38" s="1" t="s">
        <v>12</v>
      </c>
      <c r="F38" s="1">
        <v>5</v>
      </c>
      <c r="G38" s="1" t="s">
        <v>18</v>
      </c>
      <c r="H38" s="1">
        <v>3.2</v>
      </c>
      <c r="I38" s="1">
        <v>0.78</v>
      </c>
      <c r="R38">
        <v>16</v>
      </c>
      <c r="S38">
        <v>29</v>
      </c>
      <c r="T38">
        <v>57</v>
      </c>
    </row>
    <row r="39" spans="1:20" x14ac:dyDescent="0.35">
      <c r="A39" s="1" t="s">
        <v>93</v>
      </c>
      <c r="B39" s="1" t="s">
        <v>94</v>
      </c>
      <c r="C39" s="1">
        <v>21</v>
      </c>
      <c r="D39" s="1" t="s">
        <v>16</v>
      </c>
      <c r="E39" s="1" t="s">
        <v>12</v>
      </c>
      <c r="F39" s="1">
        <v>6</v>
      </c>
      <c r="G39" s="1" t="s">
        <v>13</v>
      </c>
      <c r="H39" s="1">
        <v>3.7700000000000005</v>
      </c>
      <c r="I39" s="5">
        <v>0.91</v>
      </c>
    </row>
    <row r="40" spans="1:20" hidden="1" x14ac:dyDescent="0.35">
      <c r="A40" s="1" t="s">
        <v>95</v>
      </c>
      <c r="B40" s="1" t="s">
        <v>96</v>
      </c>
      <c r="C40" s="1">
        <v>22</v>
      </c>
      <c r="D40" s="1" t="s">
        <v>11</v>
      </c>
      <c r="E40" s="1" t="s">
        <v>28</v>
      </c>
      <c r="F40" s="1">
        <v>7</v>
      </c>
      <c r="G40" s="2" t="s">
        <v>18</v>
      </c>
      <c r="H40" s="1">
        <v>3.3200000000000003</v>
      </c>
      <c r="I40" s="1">
        <v>0.82</v>
      </c>
      <c r="R40">
        <v>31</v>
      </c>
      <c r="S40">
        <v>75</v>
      </c>
      <c r="T40">
        <v>75</v>
      </c>
    </row>
    <row r="41" spans="1:20" x14ac:dyDescent="0.35">
      <c r="A41" s="1" t="s">
        <v>97</v>
      </c>
      <c r="B41" s="1" t="s">
        <v>98</v>
      </c>
      <c r="C41" s="1">
        <v>20</v>
      </c>
      <c r="D41" s="12" t="s">
        <v>16</v>
      </c>
      <c r="E41" s="1" t="s">
        <v>12</v>
      </c>
      <c r="F41" s="1">
        <v>5</v>
      </c>
      <c r="G41" s="1" t="s">
        <v>25</v>
      </c>
      <c r="H41" s="1">
        <v>3.3800000000000003</v>
      </c>
      <c r="I41" s="5">
        <v>0.9</v>
      </c>
    </row>
    <row r="42" spans="1:20" hidden="1" x14ac:dyDescent="0.35">
      <c r="A42" s="1" t="s">
        <v>99</v>
      </c>
      <c r="B42" s="1" t="s">
        <v>100</v>
      </c>
      <c r="C42" s="1">
        <v>21</v>
      </c>
      <c r="D42" s="1" t="s">
        <v>11</v>
      </c>
      <c r="E42" s="1" t="s">
        <v>17</v>
      </c>
      <c r="F42" s="1">
        <v>6</v>
      </c>
      <c r="G42" s="1" t="s">
        <v>36</v>
      </c>
      <c r="H42" s="1">
        <v>3.64</v>
      </c>
      <c r="I42" s="1">
        <v>0.87</v>
      </c>
    </row>
    <row r="43" spans="1:20" x14ac:dyDescent="0.35">
      <c r="A43" s="1" t="s">
        <v>101</v>
      </c>
      <c r="B43" s="12" t="s">
        <v>102</v>
      </c>
      <c r="C43" s="1">
        <v>20</v>
      </c>
      <c r="D43" s="1" t="s">
        <v>16</v>
      </c>
      <c r="E43" s="1" t="s">
        <v>12</v>
      </c>
      <c r="F43" s="1">
        <v>5</v>
      </c>
      <c r="G43" s="1" t="s">
        <v>22</v>
      </c>
      <c r="H43" s="1">
        <v>3.87</v>
      </c>
      <c r="I43" s="5">
        <v>0.94</v>
      </c>
    </row>
    <row r="44" spans="1:20" hidden="1" x14ac:dyDescent="0.35">
      <c r="A44" s="1" t="s">
        <v>103</v>
      </c>
      <c r="B44" s="1" t="s">
        <v>63</v>
      </c>
      <c r="C44" s="1">
        <v>20</v>
      </c>
      <c r="D44" s="1" t="s">
        <v>11</v>
      </c>
      <c r="E44" s="1" t="s">
        <v>32</v>
      </c>
      <c r="F44" s="1">
        <v>5</v>
      </c>
      <c r="G44" s="1" t="s">
        <v>13</v>
      </c>
      <c r="H44" s="1">
        <v>3.2300000000000004</v>
      </c>
      <c r="I44" s="1">
        <v>0.8</v>
      </c>
    </row>
    <row r="45" spans="1:20" x14ac:dyDescent="0.35">
      <c r="A45" s="1" t="s">
        <v>104</v>
      </c>
      <c r="B45" s="1" t="s">
        <v>81</v>
      </c>
      <c r="C45" s="1">
        <v>20</v>
      </c>
      <c r="D45" s="1" t="s">
        <v>16</v>
      </c>
      <c r="E45" s="1" t="s">
        <v>12</v>
      </c>
      <c r="F45" s="1">
        <v>5</v>
      </c>
      <c r="G45" s="1" t="s">
        <v>22</v>
      </c>
      <c r="H45" s="1">
        <v>3.7800000000000002</v>
      </c>
      <c r="I45" s="5">
        <v>0.94</v>
      </c>
    </row>
    <row r="46" spans="1:20" x14ac:dyDescent="0.35">
      <c r="A46" s="1" t="s">
        <v>105</v>
      </c>
      <c r="B46" s="1" t="s">
        <v>106</v>
      </c>
      <c r="C46" s="1">
        <v>22</v>
      </c>
      <c r="D46" s="1" t="s">
        <v>16</v>
      </c>
      <c r="E46" s="12" t="s">
        <v>12</v>
      </c>
      <c r="F46" s="1">
        <v>7</v>
      </c>
      <c r="G46" s="1" t="s">
        <v>33</v>
      </c>
      <c r="H46" s="1">
        <v>3.5600000000000005</v>
      </c>
      <c r="I46" s="5">
        <v>0.88</v>
      </c>
    </row>
    <row r="47" spans="1:20" hidden="1" x14ac:dyDescent="0.35">
      <c r="A47" s="1" t="s">
        <v>107</v>
      </c>
      <c r="B47" s="1" t="s">
        <v>108</v>
      </c>
      <c r="C47" s="1">
        <v>21</v>
      </c>
      <c r="D47" s="1" t="s">
        <v>11</v>
      </c>
      <c r="E47" s="1" t="s">
        <v>12</v>
      </c>
      <c r="F47" s="1">
        <v>6</v>
      </c>
      <c r="G47" s="1" t="s">
        <v>13</v>
      </c>
      <c r="H47" s="1">
        <v>2.9800000000000004</v>
      </c>
      <c r="I47" s="1">
        <v>0.74</v>
      </c>
    </row>
    <row r="48" spans="1:20" x14ac:dyDescent="0.35">
      <c r="A48" s="1" t="s">
        <v>109</v>
      </c>
      <c r="B48" s="1" t="s">
        <v>110</v>
      </c>
      <c r="C48" s="1">
        <v>20</v>
      </c>
      <c r="D48" s="1" t="s">
        <v>16</v>
      </c>
      <c r="E48" s="1" t="s">
        <v>12</v>
      </c>
      <c r="F48" s="1">
        <v>5</v>
      </c>
      <c r="G48" s="1" t="s">
        <v>29</v>
      </c>
      <c r="H48" s="1">
        <v>4.0200000000000005</v>
      </c>
      <c r="I48" s="5">
        <v>0.97</v>
      </c>
    </row>
    <row r="49" spans="1:9" hidden="1" x14ac:dyDescent="0.35">
      <c r="A49" s="1" t="s">
        <v>111</v>
      </c>
      <c r="B49" s="1" t="s">
        <v>112</v>
      </c>
      <c r="C49" s="1">
        <v>23</v>
      </c>
      <c r="D49" s="1" t="s">
        <v>11</v>
      </c>
      <c r="E49" s="1" t="s">
        <v>32</v>
      </c>
      <c r="F49" s="1">
        <v>8</v>
      </c>
      <c r="G49" s="1" t="s">
        <v>18</v>
      </c>
      <c r="H49" s="1">
        <v>3.37</v>
      </c>
      <c r="I49" s="1">
        <v>0.84</v>
      </c>
    </row>
    <row r="50" spans="1:9" x14ac:dyDescent="0.35">
      <c r="A50" s="1" t="s">
        <v>113</v>
      </c>
      <c r="B50" s="1" t="s">
        <v>114</v>
      </c>
      <c r="C50" s="1">
        <v>21</v>
      </c>
      <c r="D50" s="1" t="s">
        <v>16</v>
      </c>
      <c r="E50" s="1" t="s">
        <v>12</v>
      </c>
      <c r="F50" s="1">
        <v>6</v>
      </c>
      <c r="G50" s="1" t="s">
        <v>13</v>
      </c>
      <c r="H50" s="1">
        <v>3.8100000000000005</v>
      </c>
      <c r="I50" s="5">
        <v>0.93</v>
      </c>
    </row>
    <row r="51" spans="1:9" hidden="1" x14ac:dyDescent="0.35">
      <c r="A51" s="1" t="s">
        <v>115</v>
      </c>
      <c r="B51" s="1" t="s">
        <v>116</v>
      </c>
      <c r="C51" s="1">
        <v>22</v>
      </c>
      <c r="D51" s="1" t="s">
        <v>11</v>
      </c>
      <c r="E51" s="1" t="s">
        <v>12</v>
      </c>
      <c r="F51" s="1">
        <v>7</v>
      </c>
      <c r="G51" s="1" t="s">
        <v>25</v>
      </c>
      <c r="H51" s="1">
        <v>3.2800000000000002</v>
      </c>
      <c r="I51" s="1">
        <v>0.85</v>
      </c>
    </row>
    <row r="52" spans="1:9" hidden="1" x14ac:dyDescent="0.35">
      <c r="A52" s="1" t="s">
        <v>117</v>
      </c>
      <c r="B52" s="1" t="s">
        <v>10</v>
      </c>
      <c r="C52" s="1">
        <v>20</v>
      </c>
      <c r="D52" s="1" t="s">
        <v>11</v>
      </c>
      <c r="E52" s="1" t="s">
        <v>12</v>
      </c>
      <c r="F52" s="1">
        <v>5</v>
      </c>
      <c r="G52" s="1" t="s">
        <v>13</v>
      </c>
      <c r="H52" s="1">
        <v>3.5400000000000005</v>
      </c>
      <c r="I52" s="1">
        <v>0.92</v>
      </c>
    </row>
    <row r="53" spans="1:9" x14ac:dyDescent="0.35">
      <c r="A53" s="1" t="s">
        <v>118</v>
      </c>
      <c r="B53" s="12" t="s">
        <v>15</v>
      </c>
      <c r="C53" s="1">
        <v>21</v>
      </c>
      <c r="D53" s="1" t="s">
        <v>16</v>
      </c>
      <c r="E53" s="1" t="s">
        <v>12</v>
      </c>
      <c r="F53" s="1">
        <v>6</v>
      </c>
      <c r="G53" s="1" t="s">
        <v>18</v>
      </c>
      <c r="H53" s="1">
        <v>3.8000000000000003</v>
      </c>
      <c r="I53" s="5">
        <v>0.88</v>
      </c>
    </row>
    <row r="54" spans="1:9" hidden="1" x14ac:dyDescent="0.35">
      <c r="A54" s="1" t="s">
        <v>119</v>
      </c>
      <c r="B54" s="1" t="s">
        <v>20</v>
      </c>
      <c r="C54" s="1">
        <v>22</v>
      </c>
      <c r="D54" s="1" t="s">
        <v>11</v>
      </c>
      <c r="E54" s="1" t="s">
        <v>21</v>
      </c>
      <c r="F54" s="1">
        <v>7</v>
      </c>
      <c r="G54" s="1" t="s">
        <v>22</v>
      </c>
      <c r="H54" s="1">
        <v>3.2100000000000004</v>
      </c>
      <c r="I54" s="1">
        <v>0.85</v>
      </c>
    </row>
    <row r="55" spans="1:9" x14ac:dyDescent="0.35">
      <c r="A55" s="1" t="s">
        <v>120</v>
      </c>
      <c r="B55" s="1" t="s">
        <v>24</v>
      </c>
      <c r="C55" s="1">
        <v>20</v>
      </c>
      <c r="D55" s="1" t="s">
        <v>16</v>
      </c>
      <c r="E55" s="1" t="s">
        <v>12</v>
      </c>
      <c r="F55" s="1">
        <v>5</v>
      </c>
      <c r="G55" s="1" t="s">
        <v>25</v>
      </c>
      <c r="H55" s="1">
        <v>3.97</v>
      </c>
      <c r="I55" s="5">
        <v>0.95</v>
      </c>
    </row>
    <row r="56" spans="1:9" hidden="1" x14ac:dyDescent="0.35">
      <c r="A56" s="1" t="s">
        <v>121</v>
      </c>
      <c r="B56" s="1" t="s">
        <v>27</v>
      </c>
      <c r="C56" s="1">
        <v>21</v>
      </c>
      <c r="D56" s="1" t="s">
        <v>11</v>
      </c>
      <c r="E56" s="1" t="s">
        <v>28</v>
      </c>
      <c r="F56" s="1">
        <v>6</v>
      </c>
      <c r="G56" s="1" t="s">
        <v>29</v>
      </c>
      <c r="H56" s="1">
        <v>3.3800000000000003</v>
      </c>
      <c r="I56" s="1">
        <v>0.81</v>
      </c>
    </row>
    <row r="57" spans="1:9" x14ac:dyDescent="0.35">
      <c r="A57" s="1" t="s">
        <v>122</v>
      </c>
      <c r="B57" s="1" t="s">
        <v>31</v>
      </c>
      <c r="C57" s="1">
        <v>22</v>
      </c>
      <c r="D57" s="1" t="s">
        <v>16</v>
      </c>
      <c r="E57" s="1" t="s">
        <v>12</v>
      </c>
      <c r="F57" s="1">
        <v>7</v>
      </c>
      <c r="G57" s="1" t="s">
        <v>33</v>
      </c>
      <c r="H57" s="1">
        <v>3.7600000000000002</v>
      </c>
      <c r="I57" s="5">
        <v>0.9</v>
      </c>
    </row>
    <row r="58" spans="1:9" hidden="1" x14ac:dyDescent="0.35">
      <c r="A58" s="1" t="s">
        <v>123</v>
      </c>
      <c r="B58" s="1" t="s">
        <v>35</v>
      </c>
      <c r="C58" s="1">
        <v>20</v>
      </c>
      <c r="D58" s="1" t="s">
        <v>11</v>
      </c>
      <c r="E58" s="1" t="s">
        <v>12</v>
      </c>
      <c r="F58" s="1">
        <v>5</v>
      </c>
      <c r="G58" s="1" t="s">
        <v>36</v>
      </c>
      <c r="H58" s="1">
        <v>3.0400000000000005</v>
      </c>
      <c r="I58" s="1">
        <v>0.76</v>
      </c>
    </row>
    <row r="59" spans="1:9" x14ac:dyDescent="0.35">
      <c r="A59" s="1" t="s">
        <v>124</v>
      </c>
      <c r="B59" s="1" t="s">
        <v>38</v>
      </c>
      <c r="C59" s="1">
        <v>21</v>
      </c>
      <c r="D59" s="12" t="s">
        <v>16</v>
      </c>
      <c r="E59" s="12" t="s">
        <v>12</v>
      </c>
      <c r="F59" s="1">
        <v>6</v>
      </c>
      <c r="G59" s="1" t="s">
        <v>39</v>
      </c>
      <c r="H59" s="1">
        <v>4</v>
      </c>
      <c r="I59" s="5">
        <v>0.96</v>
      </c>
    </row>
    <row r="60" spans="1:9" hidden="1" x14ac:dyDescent="0.35">
      <c r="A60" s="1" t="s">
        <v>125</v>
      </c>
      <c r="B60" s="1" t="s">
        <v>41</v>
      </c>
      <c r="C60" s="1">
        <v>23</v>
      </c>
      <c r="D60" s="1" t="s">
        <v>11</v>
      </c>
      <c r="E60" s="1" t="s">
        <v>21</v>
      </c>
      <c r="F60" s="1">
        <v>8</v>
      </c>
      <c r="G60" s="1" t="s">
        <v>42</v>
      </c>
      <c r="H60" s="1">
        <v>3.2700000000000005</v>
      </c>
      <c r="I60" s="1">
        <v>0.82</v>
      </c>
    </row>
    <row r="61" spans="1:9" x14ac:dyDescent="0.35">
      <c r="A61" s="1" t="s">
        <v>126</v>
      </c>
      <c r="B61" s="12" t="s">
        <v>44</v>
      </c>
      <c r="C61" s="1">
        <v>20</v>
      </c>
      <c r="D61" s="1" t="s">
        <v>16</v>
      </c>
      <c r="E61" s="1" t="s">
        <v>12</v>
      </c>
      <c r="F61" s="1">
        <v>5</v>
      </c>
      <c r="G61" s="1" t="s">
        <v>13</v>
      </c>
      <c r="H61" s="1">
        <v>3.64</v>
      </c>
      <c r="I61" s="5">
        <v>0.91</v>
      </c>
    </row>
    <row r="62" spans="1:9" hidden="1" x14ac:dyDescent="0.35">
      <c r="A62" s="1" t="s">
        <v>127</v>
      </c>
      <c r="B62" s="1" t="s">
        <v>46</v>
      </c>
      <c r="C62" s="1">
        <v>21</v>
      </c>
      <c r="D62" s="1" t="s">
        <v>11</v>
      </c>
      <c r="E62" s="1" t="s">
        <v>12</v>
      </c>
      <c r="F62" s="1">
        <v>6</v>
      </c>
      <c r="G62" s="1" t="s">
        <v>18</v>
      </c>
      <c r="H62" s="1">
        <v>3.5800000000000005</v>
      </c>
      <c r="I62" s="1">
        <v>0.89</v>
      </c>
    </row>
    <row r="63" spans="1:9" x14ac:dyDescent="0.35">
      <c r="A63" s="1" t="s">
        <v>128</v>
      </c>
      <c r="B63" s="1" t="s">
        <v>48</v>
      </c>
      <c r="C63" s="1">
        <v>22</v>
      </c>
      <c r="D63" s="1" t="s">
        <v>16</v>
      </c>
      <c r="E63" s="1" t="s">
        <v>12</v>
      </c>
      <c r="F63" s="1">
        <v>7</v>
      </c>
      <c r="G63" s="1" t="s">
        <v>22</v>
      </c>
      <c r="H63" s="1">
        <v>3.89</v>
      </c>
      <c r="I63" s="5">
        <v>0.94</v>
      </c>
    </row>
    <row r="64" spans="1:9" x14ac:dyDescent="0.35">
      <c r="A64" s="1" t="s">
        <v>129</v>
      </c>
      <c r="B64" s="12" t="s">
        <v>130</v>
      </c>
      <c r="C64" s="1">
        <v>20</v>
      </c>
      <c r="D64" s="1" t="s">
        <v>16</v>
      </c>
      <c r="E64" s="1" t="s">
        <v>12</v>
      </c>
      <c r="F64" s="1">
        <v>5</v>
      </c>
      <c r="G64" s="1" t="s">
        <v>13</v>
      </c>
      <c r="H64" s="1">
        <v>3.6900000000000004</v>
      </c>
      <c r="I64" s="5">
        <v>0.9</v>
      </c>
    </row>
    <row r="65" spans="1:16" hidden="1" x14ac:dyDescent="0.35">
      <c r="A65" s="1" t="s">
        <v>131</v>
      </c>
      <c r="B65" s="1" t="s">
        <v>132</v>
      </c>
      <c r="C65" s="1">
        <v>21</v>
      </c>
      <c r="D65" s="1" t="s">
        <v>11</v>
      </c>
      <c r="E65" s="1" t="s">
        <v>17</v>
      </c>
      <c r="F65" s="1">
        <v>6</v>
      </c>
      <c r="G65" s="1" t="s">
        <v>25</v>
      </c>
      <c r="H65" s="1">
        <v>3.24</v>
      </c>
      <c r="I65" s="1">
        <v>0.84</v>
      </c>
    </row>
    <row r="66" spans="1:16" x14ac:dyDescent="0.35">
      <c r="A66" s="1" t="s">
        <v>133</v>
      </c>
      <c r="B66" s="1" t="s">
        <v>134</v>
      </c>
      <c r="C66" s="1">
        <v>22</v>
      </c>
      <c r="D66" s="12" t="s">
        <v>16</v>
      </c>
      <c r="E66" s="12" t="s">
        <v>12</v>
      </c>
      <c r="F66" s="1">
        <v>7</v>
      </c>
      <c r="G66" s="1" t="s">
        <v>29</v>
      </c>
      <c r="H66" s="1">
        <v>3.9200000000000004</v>
      </c>
      <c r="I66" s="5">
        <v>0.95</v>
      </c>
    </row>
    <row r="67" spans="1:16" hidden="1" x14ac:dyDescent="0.35">
      <c r="A67" s="1" t="s">
        <v>135</v>
      </c>
      <c r="B67" s="1" t="s">
        <v>136</v>
      </c>
      <c r="C67" s="1">
        <v>20</v>
      </c>
      <c r="D67" s="1" t="s">
        <v>11</v>
      </c>
      <c r="E67" s="1" t="s">
        <v>32</v>
      </c>
      <c r="F67" s="1">
        <v>5</v>
      </c>
      <c r="G67" s="1" t="s">
        <v>18</v>
      </c>
      <c r="H67" s="1">
        <v>3.1</v>
      </c>
      <c r="I67" s="1">
        <v>0.79</v>
      </c>
      <c r="N67">
        <f ca="1">RANDBETWEEN(1,100)</f>
        <v>91</v>
      </c>
      <c r="O67">
        <f t="shared" ref="O67:P74" ca="1" si="0">RANDBETWEEN(1,100)</f>
        <v>7</v>
      </c>
      <c r="P67">
        <f t="shared" ca="1" si="0"/>
        <v>31</v>
      </c>
    </row>
    <row r="68" spans="1:16" x14ac:dyDescent="0.35">
      <c r="A68" s="1" t="s">
        <v>137</v>
      </c>
      <c r="B68" s="1" t="s">
        <v>55</v>
      </c>
      <c r="C68" s="1">
        <v>20</v>
      </c>
      <c r="D68" s="1" t="s">
        <v>16</v>
      </c>
      <c r="E68" s="1" t="s">
        <v>12</v>
      </c>
      <c r="F68" s="1">
        <v>5</v>
      </c>
      <c r="G68" s="1" t="s">
        <v>13</v>
      </c>
      <c r="H68" s="1">
        <v>3.8600000000000003</v>
      </c>
      <c r="I68" s="5">
        <v>0.93</v>
      </c>
    </row>
    <row r="69" spans="1:16" hidden="1" x14ac:dyDescent="0.35">
      <c r="A69" s="1" t="s">
        <v>138</v>
      </c>
      <c r="B69" s="1" t="s">
        <v>57</v>
      </c>
      <c r="C69" s="1">
        <v>22</v>
      </c>
      <c r="D69" s="1" t="s">
        <v>11</v>
      </c>
      <c r="E69" s="1" t="s">
        <v>21</v>
      </c>
      <c r="F69" s="1">
        <v>7</v>
      </c>
      <c r="G69" s="1" t="s">
        <v>36</v>
      </c>
      <c r="H69" s="1">
        <v>3.35</v>
      </c>
      <c r="I69" s="1">
        <v>0.88</v>
      </c>
      <c r="N69">
        <f ca="1">RANDBETWEEN(1,100)</f>
        <v>15</v>
      </c>
      <c r="O69">
        <f t="shared" ca="1" si="0"/>
        <v>4</v>
      </c>
      <c r="P69">
        <f t="shared" ca="1" si="0"/>
        <v>29</v>
      </c>
    </row>
    <row r="70" spans="1:16" x14ac:dyDescent="0.35">
      <c r="A70" s="1" t="s">
        <v>139</v>
      </c>
      <c r="B70" s="12" t="s">
        <v>59</v>
      </c>
      <c r="C70" s="1">
        <v>21</v>
      </c>
      <c r="D70" s="1" t="s">
        <v>16</v>
      </c>
      <c r="E70" s="1" t="s">
        <v>12</v>
      </c>
      <c r="F70" s="1">
        <v>6</v>
      </c>
      <c r="G70" s="1" t="s">
        <v>39</v>
      </c>
      <c r="H70" s="1">
        <v>3.7500000000000004</v>
      </c>
      <c r="I70" s="5">
        <v>0.89</v>
      </c>
    </row>
    <row r="71" spans="1:16" hidden="1" x14ac:dyDescent="0.35">
      <c r="A71" s="1" t="s">
        <v>140</v>
      </c>
      <c r="B71" s="1" t="s">
        <v>63</v>
      </c>
      <c r="C71" s="1">
        <v>20</v>
      </c>
      <c r="D71" s="1" t="s">
        <v>11</v>
      </c>
      <c r="E71" s="1" t="s">
        <v>32</v>
      </c>
      <c r="F71" s="1">
        <v>5</v>
      </c>
      <c r="G71" s="1" t="s">
        <v>13</v>
      </c>
      <c r="H71" s="1">
        <v>3.2300000000000004</v>
      </c>
      <c r="I71" s="1">
        <v>0.8</v>
      </c>
      <c r="N71">
        <f ca="1">RANDBETWEEN(1,100)</f>
        <v>25</v>
      </c>
      <c r="O71">
        <f t="shared" ca="1" si="0"/>
        <v>45</v>
      </c>
      <c r="P71">
        <f t="shared" ca="1" si="0"/>
        <v>72</v>
      </c>
    </row>
    <row r="72" spans="1:16" hidden="1" x14ac:dyDescent="0.35">
      <c r="A72" s="1" t="s">
        <v>141</v>
      </c>
      <c r="B72" s="1" t="s">
        <v>89</v>
      </c>
      <c r="C72" s="1">
        <v>21</v>
      </c>
      <c r="D72" s="1" t="s">
        <v>11</v>
      </c>
      <c r="E72" s="1" t="s">
        <v>17</v>
      </c>
      <c r="F72" s="1">
        <v>6</v>
      </c>
      <c r="G72" s="1" t="s">
        <v>13</v>
      </c>
      <c r="H72" s="1">
        <v>3.43</v>
      </c>
      <c r="I72" s="1">
        <v>0.87</v>
      </c>
      <c r="N72">
        <f ca="1">RANDBETWEEN(1,100)</f>
        <v>6</v>
      </c>
      <c r="O72">
        <f t="shared" ca="1" si="0"/>
        <v>91</v>
      </c>
      <c r="P72">
        <f t="shared" ca="1" si="0"/>
        <v>97</v>
      </c>
    </row>
    <row r="73" spans="1:16" x14ac:dyDescent="0.35">
      <c r="A73" s="1" t="s">
        <v>142</v>
      </c>
      <c r="B73" s="1" t="s">
        <v>106</v>
      </c>
      <c r="C73" s="1">
        <v>22</v>
      </c>
      <c r="D73" s="1" t="s">
        <v>16</v>
      </c>
      <c r="E73" s="1" t="s">
        <v>12</v>
      </c>
      <c r="F73" s="1">
        <v>7</v>
      </c>
      <c r="G73" s="1" t="s">
        <v>33</v>
      </c>
      <c r="H73" s="1">
        <v>3.5600000000000005</v>
      </c>
      <c r="I73" s="5">
        <v>0.88</v>
      </c>
    </row>
    <row r="74" spans="1:16" hidden="1" x14ac:dyDescent="0.35">
      <c r="A74" s="1" t="s">
        <v>143</v>
      </c>
      <c r="B74" s="1" t="s">
        <v>108</v>
      </c>
      <c r="C74" s="1">
        <v>21</v>
      </c>
      <c r="D74" s="1" t="s">
        <v>11</v>
      </c>
      <c r="E74" s="1" t="s">
        <v>12</v>
      </c>
      <c r="F74" s="1">
        <v>6</v>
      </c>
      <c r="G74" s="1" t="s">
        <v>13</v>
      </c>
      <c r="H74" s="1">
        <v>2.9800000000000004</v>
      </c>
      <c r="I74" s="1">
        <v>0.74</v>
      </c>
      <c r="N74">
        <f t="shared" ref="N74" ca="1" si="1">RANDBETWEEN(1,100)</f>
        <v>71</v>
      </c>
      <c r="O74">
        <f t="shared" ca="1" si="0"/>
        <v>7</v>
      </c>
      <c r="P74">
        <f t="shared" ca="1" si="0"/>
        <v>18</v>
      </c>
    </row>
    <row r="75" spans="1:16" x14ac:dyDescent="0.35">
      <c r="A75" s="1" t="s">
        <v>144</v>
      </c>
      <c r="B75" s="1" t="s">
        <v>110</v>
      </c>
      <c r="C75" s="1">
        <v>20</v>
      </c>
      <c r="D75" s="12" t="s">
        <v>16</v>
      </c>
      <c r="E75" s="12" t="s">
        <v>12</v>
      </c>
      <c r="F75" s="1">
        <v>5</v>
      </c>
      <c r="G75" s="1" t="s">
        <v>29</v>
      </c>
      <c r="H75" s="1">
        <v>4.0200000000000005</v>
      </c>
      <c r="I75" s="5">
        <v>0.97</v>
      </c>
    </row>
    <row r="76" spans="1:16" hidden="1" x14ac:dyDescent="0.35">
      <c r="A76" s="1" t="s">
        <v>145</v>
      </c>
      <c r="B76" s="1" t="s">
        <v>112</v>
      </c>
      <c r="C76" s="1">
        <v>23</v>
      </c>
      <c r="D76" s="1" t="s">
        <v>11</v>
      </c>
      <c r="E76" s="1" t="s">
        <v>32</v>
      </c>
      <c r="F76" s="1">
        <v>8</v>
      </c>
      <c r="G76" s="1" t="s">
        <v>18</v>
      </c>
      <c r="H76" s="1">
        <v>3.37</v>
      </c>
      <c r="I76" s="1">
        <v>0.84</v>
      </c>
    </row>
    <row r="77" spans="1:16" x14ac:dyDescent="0.35">
      <c r="A77" s="1" t="s">
        <v>146</v>
      </c>
      <c r="B77" s="1" t="s">
        <v>114</v>
      </c>
      <c r="C77" s="1">
        <v>21</v>
      </c>
      <c r="D77" s="1" t="s">
        <v>16</v>
      </c>
      <c r="E77" s="1" t="s">
        <v>12</v>
      </c>
      <c r="F77" s="1">
        <v>6</v>
      </c>
      <c r="G77" s="1" t="s">
        <v>13</v>
      </c>
      <c r="H77" s="1">
        <v>3.8100000000000005</v>
      </c>
      <c r="I77" s="5">
        <v>0.93</v>
      </c>
    </row>
    <row r="78" spans="1:16" hidden="1" x14ac:dyDescent="0.35">
      <c r="A78" s="1" t="s">
        <v>147</v>
      </c>
      <c r="B78" s="1" t="s">
        <v>116</v>
      </c>
      <c r="C78" s="1">
        <v>22</v>
      </c>
      <c r="D78" s="1" t="s">
        <v>11</v>
      </c>
      <c r="E78" s="1" t="s">
        <v>12</v>
      </c>
      <c r="F78" s="1">
        <v>7</v>
      </c>
      <c r="G78" s="1" t="s">
        <v>25</v>
      </c>
      <c r="H78" s="1">
        <v>3.2800000000000002</v>
      </c>
      <c r="I78" s="1">
        <v>0.85</v>
      </c>
      <c r="N78">
        <v>25</v>
      </c>
      <c r="O78">
        <v>19</v>
      </c>
      <c r="P78">
        <v>92</v>
      </c>
    </row>
    <row r="79" spans="1:16" x14ac:dyDescent="0.35">
      <c r="A79" s="1" t="s">
        <v>148</v>
      </c>
      <c r="B79" s="1" t="s">
        <v>69</v>
      </c>
      <c r="C79" s="1">
        <v>20</v>
      </c>
      <c r="D79" s="1" t="s">
        <v>16</v>
      </c>
      <c r="E79" s="1" t="s">
        <v>12</v>
      </c>
      <c r="F79" s="1">
        <v>5</v>
      </c>
      <c r="G79" s="1" t="s">
        <v>18</v>
      </c>
      <c r="H79" s="1">
        <v>4.03</v>
      </c>
      <c r="I79" s="5">
        <v>0.98</v>
      </c>
    </row>
    <row r="80" spans="1:16" hidden="1" x14ac:dyDescent="0.35">
      <c r="A80" s="1" t="s">
        <v>149</v>
      </c>
      <c r="B80" s="1" t="s">
        <v>71</v>
      </c>
      <c r="C80" s="1">
        <v>22</v>
      </c>
      <c r="D80" s="1" t="s">
        <v>11</v>
      </c>
      <c r="E80" s="1" t="s">
        <v>28</v>
      </c>
      <c r="F80" s="1">
        <v>7</v>
      </c>
      <c r="G80" s="1" t="s">
        <v>13</v>
      </c>
      <c r="H80" s="1">
        <v>3.7</v>
      </c>
      <c r="I80" s="1">
        <v>0.91</v>
      </c>
      <c r="N80">
        <v>79</v>
      </c>
      <c r="O80">
        <v>20</v>
      </c>
      <c r="P80">
        <v>62</v>
      </c>
    </row>
    <row r="81" spans="1:16" x14ac:dyDescent="0.35">
      <c r="A81" s="1" t="s">
        <v>150</v>
      </c>
      <c r="B81" s="1" t="s">
        <v>73</v>
      </c>
      <c r="C81" s="1">
        <v>21</v>
      </c>
      <c r="D81" s="1" t="s">
        <v>16</v>
      </c>
      <c r="E81" s="1" t="s">
        <v>12</v>
      </c>
      <c r="F81" s="1">
        <v>6</v>
      </c>
      <c r="G81" s="1" t="s">
        <v>36</v>
      </c>
      <c r="H81" s="1">
        <v>3.8200000000000003</v>
      </c>
      <c r="I81" s="5">
        <v>0.92</v>
      </c>
    </row>
    <row r="82" spans="1:16" hidden="1" x14ac:dyDescent="0.35">
      <c r="A82" s="1" t="s">
        <v>151</v>
      </c>
      <c r="B82" s="1" t="s">
        <v>75</v>
      </c>
      <c r="C82" s="1">
        <v>20</v>
      </c>
      <c r="D82" s="1" t="s">
        <v>11</v>
      </c>
      <c r="E82" s="1" t="s">
        <v>32</v>
      </c>
      <c r="F82" s="1">
        <v>5</v>
      </c>
      <c r="G82" s="1" t="s">
        <v>33</v>
      </c>
      <c r="H82" s="1">
        <v>3.0600000000000005</v>
      </c>
      <c r="I82" s="1">
        <v>0.77</v>
      </c>
      <c r="N82">
        <v>3</v>
      </c>
      <c r="O82">
        <v>18</v>
      </c>
      <c r="P82">
        <v>86</v>
      </c>
    </row>
    <row r="83" spans="1:16" x14ac:dyDescent="0.35">
      <c r="A83" s="1" t="s">
        <v>152</v>
      </c>
      <c r="B83" s="1" t="s">
        <v>77</v>
      </c>
      <c r="C83" s="1">
        <v>22</v>
      </c>
      <c r="D83" s="1" t="s">
        <v>16</v>
      </c>
      <c r="E83" s="1" t="s">
        <v>12</v>
      </c>
      <c r="F83" s="1">
        <v>7</v>
      </c>
      <c r="G83" s="1" t="s">
        <v>13</v>
      </c>
      <c r="H83" s="1">
        <v>3.91</v>
      </c>
      <c r="I83" s="5">
        <v>0.95</v>
      </c>
    </row>
    <row r="84" spans="1:16" hidden="1" x14ac:dyDescent="0.35">
      <c r="A84" s="1" t="s">
        <v>153</v>
      </c>
      <c r="B84" s="1" t="s">
        <v>79</v>
      </c>
      <c r="C84" s="1">
        <v>21</v>
      </c>
      <c r="D84" s="1" t="s">
        <v>11</v>
      </c>
      <c r="E84" s="1" t="s">
        <v>12</v>
      </c>
      <c r="F84" s="1">
        <v>6</v>
      </c>
      <c r="G84" s="1" t="s">
        <v>42</v>
      </c>
      <c r="H84" s="1">
        <v>3.2700000000000005</v>
      </c>
      <c r="I84" s="1">
        <v>0.86</v>
      </c>
      <c r="N84">
        <v>9</v>
      </c>
      <c r="O84">
        <v>58</v>
      </c>
      <c r="P84">
        <v>96</v>
      </c>
    </row>
    <row r="85" spans="1:16" x14ac:dyDescent="0.35">
      <c r="A85" s="1" t="s">
        <v>154</v>
      </c>
      <c r="B85" s="1" t="s">
        <v>81</v>
      </c>
      <c r="C85" s="1">
        <v>20</v>
      </c>
      <c r="D85" s="1" t="s">
        <v>16</v>
      </c>
      <c r="E85" s="1" t="s">
        <v>12</v>
      </c>
      <c r="F85" s="1">
        <v>5</v>
      </c>
      <c r="G85" s="1" t="s">
        <v>22</v>
      </c>
      <c r="H85" s="1">
        <v>3.7800000000000002</v>
      </c>
      <c r="I85" s="5">
        <v>0.94</v>
      </c>
    </row>
    <row r="86" spans="1:16" hidden="1" x14ac:dyDescent="0.35">
      <c r="A86" s="1" t="s">
        <v>155</v>
      </c>
      <c r="B86" s="1" t="s">
        <v>83</v>
      </c>
      <c r="C86" s="1">
        <v>23</v>
      </c>
      <c r="D86" s="1" t="s">
        <v>11</v>
      </c>
      <c r="E86" s="1" t="s">
        <v>21</v>
      </c>
      <c r="F86" s="1">
        <v>8</v>
      </c>
      <c r="G86" s="1" t="s">
        <v>18</v>
      </c>
      <c r="H86" s="1">
        <v>3.1700000000000004</v>
      </c>
      <c r="I86" s="1">
        <v>0.83</v>
      </c>
    </row>
    <row r="87" spans="1:16" x14ac:dyDescent="0.35">
      <c r="A87" s="1" t="s">
        <v>156</v>
      </c>
      <c r="B87" s="1" t="s">
        <v>85</v>
      </c>
      <c r="C87" s="1">
        <v>20</v>
      </c>
      <c r="D87" s="1" t="s">
        <v>16</v>
      </c>
      <c r="E87" s="1" t="s">
        <v>12</v>
      </c>
      <c r="F87" s="1">
        <v>5</v>
      </c>
      <c r="G87" s="1" t="s">
        <v>13</v>
      </c>
      <c r="H87" s="1">
        <v>4.05</v>
      </c>
      <c r="I87" s="5">
        <v>0.99</v>
      </c>
    </row>
    <row r="88" spans="1:16" hidden="1" x14ac:dyDescent="0.35">
      <c r="A88" s="1" t="s">
        <v>157</v>
      </c>
      <c r="B88" s="1" t="s">
        <v>92</v>
      </c>
      <c r="C88" s="1">
        <v>21</v>
      </c>
      <c r="D88" s="1" t="s">
        <v>11</v>
      </c>
      <c r="E88" s="1" t="s">
        <v>12</v>
      </c>
      <c r="F88" s="1">
        <v>6</v>
      </c>
      <c r="G88" s="1" t="s">
        <v>18</v>
      </c>
      <c r="H88" s="1">
        <v>3.2</v>
      </c>
      <c r="I88" s="1">
        <v>0.78</v>
      </c>
    </row>
    <row r="89" spans="1:16" x14ac:dyDescent="0.35">
      <c r="A89" s="1" t="s">
        <v>158</v>
      </c>
      <c r="B89" s="1" t="s">
        <v>94</v>
      </c>
      <c r="C89" s="1">
        <v>21</v>
      </c>
      <c r="D89" s="1" t="s">
        <v>16</v>
      </c>
      <c r="E89" s="1" t="s">
        <v>12</v>
      </c>
      <c r="F89" s="1">
        <v>6</v>
      </c>
      <c r="G89" s="1" t="s">
        <v>13</v>
      </c>
      <c r="H89" s="1">
        <v>3.7700000000000005</v>
      </c>
      <c r="I89" s="5">
        <v>0.91</v>
      </c>
    </row>
    <row r="90" spans="1:16" hidden="1" x14ac:dyDescent="0.35">
      <c r="A90" s="1" t="s">
        <v>159</v>
      </c>
      <c r="B90" s="1" t="s">
        <v>96</v>
      </c>
      <c r="C90" s="1">
        <v>22</v>
      </c>
      <c r="D90" s="1" t="s">
        <v>11</v>
      </c>
      <c r="E90" s="1" t="s">
        <v>28</v>
      </c>
      <c r="F90" s="1">
        <v>7</v>
      </c>
      <c r="G90" s="1" t="s">
        <v>25</v>
      </c>
      <c r="H90" s="1">
        <v>3.3200000000000003</v>
      </c>
      <c r="I90" s="1">
        <v>0.82</v>
      </c>
    </row>
    <row r="91" spans="1:16" x14ac:dyDescent="0.35">
      <c r="A91" s="1" t="s">
        <v>160</v>
      </c>
      <c r="B91" s="1" t="s">
        <v>98</v>
      </c>
      <c r="C91" s="1">
        <v>20</v>
      </c>
      <c r="D91" s="1" t="s">
        <v>16</v>
      </c>
      <c r="E91" s="1" t="s">
        <v>12</v>
      </c>
      <c r="F91" s="1">
        <v>5</v>
      </c>
      <c r="G91" s="1" t="s">
        <v>25</v>
      </c>
      <c r="H91" s="1">
        <v>3.5300000000000002</v>
      </c>
      <c r="I91" s="5">
        <v>0.9</v>
      </c>
    </row>
    <row r="92" spans="1:16" hidden="1" x14ac:dyDescent="0.35">
      <c r="A92" s="1" t="s">
        <v>161</v>
      </c>
      <c r="B92" s="1" t="s">
        <v>100</v>
      </c>
      <c r="C92" s="1">
        <v>21</v>
      </c>
      <c r="D92" s="1" t="s">
        <v>11</v>
      </c>
      <c r="E92" s="1" t="s">
        <v>17</v>
      </c>
      <c r="F92" s="1">
        <v>6</v>
      </c>
      <c r="G92" s="1" t="s">
        <v>36</v>
      </c>
      <c r="H92" s="1">
        <v>3.64</v>
      </c>
      <c r="I92" s="1">
        <v>0.86</v>
      </c>
    </row>
    <row r="93" spans="1:16" x14ac:dyDescent="0.35">
      <c r="A93" s="1" t="s">
        <v>162</v>
      </c>
      <c r="B93" s="1" t="s">
        <v>102</v>
      </c>
      <c r="C93" s="1">
        <v>20</v>
      </c>
      <c r="D93" s="1" t="s">
        <v>16</v>
      </c>
      <c r="E93" s="1" t="s">
        <v>12</v>
      </c>
      <c r="F93" s="1">
        <v>5</v>
      </c>
      <c r="G93" s="1" t="s">
        <v>22</v>
      </c>
      <c r="H93" s="1">
        <v>3.87</v>
      </c>
      <c r="I93" s="5">
        <v>0.94</v>
      </c>
    </row>
    <row r="94" spans="1:16" hidden="1" x14ac:dyDescent="0.35">
      <c r="A94" s="1" t="s">
        <v>163</v>
      </c>
      <c r="B94" s="1" t="s">
        <v>63</v>
      </c>
      <c r="C94" s="1">
        <v>20</v>
      </c>
      <c r="D94" s="1" t="s">
        <v>11</v>
      </c>
      <c r="E94" s="1" t="s">
        <v>32</v>
      </c>
      <c r="F94" s="1">
        <v>5</v>
      </c>
      <c r="G94" s="1" t="s">
        <v>13</v>
      </c>
      <c r="H94" s="1">
        <v>3.2300000000000004</v>
      </c>
      <c r="I94" s="1">
        <v>0.8</v>
      </c>
    </row>
    <row r="95" spans="1:16" x14ac:dyDescent="0.35">
      <c r="A95" s="1" t="s">
        <v>164</v>
      </c>
      <c r="B95" s="1" t="s">
        <v>81</v>
      </c>
      <c r="C95" s="1">
        <v>20</v>
      </c>
      <c r="D95" s="1" t="s">
        <v>16</v>
      </c>
      <c r="E95" s="1" t="s">
        <v>12</v>
      </c>
      <c r="F95" s="1">
        <v>5</v>
      </c>
      <c r="G95" s="1" t="s">
        <v>22</v>
      </c>
      <c r="H95" s="1">
        <v>3.7800000000000002</v>
      </c>
      <c r="I95" s="5">
        <v>0.94</v>
      </c>
    </row>
    <row r="96" spans="1:16" x14ac:dyDescent="0.35">
      <c r="A96" s="1" t="s">
        <v>165</v>
      </c>
      <c r="B96" s="1" t="s">
        <v>106</v>
      </c>
      <c r="C96" s="1">
        <v>22</v>
      </c>
      <c r="D96" s="1" t="s">
        <v>16</v>
      </c>
      <c r="E96" s="1" t="s">
        <v>12</v>
      </c>
      <c r="F96" s="1">
        <v>7</v>
      </c>
      <c r="G96" s="1" t="s">
        <v>33</v>
      </c>
      <c r="H96" s="1">
        <v>3.5600000000000005</v>
      </c>
      <c r="I96" s="5">
        <v>0.88</v>
      </c>
    </row>
    <row r="97" spans="1:9" hidden="1" x14ac:dyDescent="0.35">
      <c r="A97" s="1" t="s">
        <v>166</v>
      </c>
      <c r="B97" s="1" t="s">
        <v>108</v>
      </c>
      <c r="C97" s="1">
        <v>21</v>
      </c>
      <c r="D97" s="1" t="s">
        <v>11</v>
      </c>
      <c r="E97" s="1" t="s">
        <v>12</v>
      </c>
      <c r="F97" s="1">
        <v>6</v>
      </c>
      <c r="G97" s="1" t="s">
        <v>13</v>
      </c>
      <c r="H97" s="1">
        <v>2.9800000000000004</v>
      </c>
      <c r="I97" s="1">
        <v>0.74</v>
      </c>
    </row>
    <row r="98" spans="1:9" x14ac:dyDescent="0.35">
      <c r="A98" s="1" t="s">
        <v>167</v>
      </c>
      <c r="B98" s="1" t="s">
        <v>110</v>
      </c>
      <c r="C98" s="1">
        <v>20</v>
      </c>
      <c r="D98" s="1" t="s">
        <v>16</v>
      </c>
      <c r="E98" s="1" t="s">
        <v>12</v>
      </c>
      <c r="F98" s="1">
        <v>5</v>
      </c>
      <c r="G98" s="1" t="s">
        <v>29</v>
      </c>
      <c r="H98" s="1">
        <v>4.0200000000000005</v>
      </c>
      <c r="I98" s="5">
        <v>0.97</v>
      </c>
    </row>
    <row r="99" spans="1:9" hidden="1" x14ac:dyDescent="0.35">
      <c r="A99" s="1" t="s">
        <v>168</v>
      </c>
      <c r="B99" s="1" t="s">
        <v>112</v>
      </c>
      <c r="C99" s="1">
        <v>23</v>
      </c>
      <c r="D99" s="1" t="s">
        <v>11</v>
      </c>
      <c r="E99" s="1" t="s">
        <v>32</v>
      </c>
      <c r="F99" s="1">
        <v>8</v>
      </c>
      <c r="G99" s="1" t="s">
        <v>18</v>
      </c>
      <c r="H99" s="1">
        <v>3.37</v>
      </c>
      <c r="I99" s="1">
        <v>0.84</v>
      </c>
    </row>
    <row r="100" spans="1:9" x14ac:dyDescent="0.35">
      <c r="A100" s="1" t="s">
        <v>169</v>
      </c>
      <c r="B100" s="1" t="s">
        <v>114</v>
      </c>
      <c r="C100" s="1">
        <v>21</v>
      </c>
      <c r="D100" s="1" t="s">
        <v>16</v>
      </c>
      <c r="E100" s="1" t="s">
        <v>12</v>
      </c>
      <c r="F100" s="1">
        <v>6</v>
      </c>
      <c r="G100" s="1" t="s">
        <v>13</v>
      </c>
      <c r="H100" s="1">
        <v>3.8100000000000005</v>
      </c>
      <c r="I100" s="5">
        <v>0.93</v>
      </c>
    </row>
    <row r="101" spans="1:9" hidden="1" x14ac:dyDescent="0.35">
      <c r="A101" s="1" t="s">
        <v>170</v>
      </c>
      <c r="B101" s="1" t="s">
        <v>116</v>
      </c>
      <c r="C101" s="1">
        <v>22</v>
      </c>
      <c r="D101" s="1" t="s">
        <v>11</v>
      </c>
      <c r="E101" s="1" t="s">
        <v>12</v>
      </c>
      <c r="F101" s="1">
        <v>7</v>
      </c>
      <c r="G101" s="1" t="s">
        <v>25</v>
      </c>
      <c r="H101" s="1">
        <v>3.29</v>
      </c>
      <c r="I101" s="1">
        <v>85</v>
      </c>
    </row>
    <row r="103" spans="1:9" x14ac:dyDescent="0.35">
      <c r="G103" s="1" t="s">
        <v>174</v>
      </c>
      <c r="H103">
        <f>SUM(H2:H101)</f>
        <v>355.46999999999986</v>
      </c>
    </row>
  </sheetData>
  <autoFilter ref="A1:I101" xr:uid="{54BD2F2F-EE0F-4411-BD3A-C109CB3AD141}">
    <filterColumn colId="3">
      <filters>
        <filter val="Female"/>
      </filters>
    </filterColumn>
  </autoFilter>
  <mergeCells count="1">
    <mergeCell ref="M7:O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61ED-D2B2-476F-B633-8F0B39975398}">
  <dimension ref="A1:I51"/>
  <sheetViews>
    <sheetView workbookViewId="0">
      <selection activeCell="C2" sqref="C2"/>
    </sheetView>
  </sheetViews>
  <sheetFormatPr defaultRowHeight="14.5" x14ac:dyDescent="0.35"/>
  <cols>
    <col min="1" max="1" width="10.08984375" bestFit="1" customWidth="1"/>
    <col min="2" max="2" width="13.36328125" bestFit="1" customWidth="1"/>
    <col min="3" max="3" width="3.90625" bestFit="1" customWidth="1"/>
    <col min="4" max="4" width="7" bestFit="1" customWidth="1"/>
    <col min="5" max="5" width="20.90625" bestFit="1" customWidth="1"/>
    <col min="6" max="6" width="8.54296875" bestFit="1" customWidth="1"/>
    <col min="7" max="7" width="10.36328125" bestFit="1" customWidth="1"/>
    <col min="8" max="8" width="4.81640625" bestFit="1" customWidth="1"/>
    <col min="9" max="9" width="10.36328125" bestFit="1" customWidth="1"/>
  </cols>
  <sheetData>
    <row r="1" spans="1:9" x14ac:dyDescent="0.35">
      <c r="A1" s="8" t="str">
        <f>Sheet1!A1</f>
        <v>Student_ID</v>
      </c>
      <c r="B1" s="8" t="str">
        <f>Sheet1!B1</f>
        <v>Name</v>
      </c>
      <c r="C1" s="8" t="str">
        <f>Sheet1!C1</f>
        <v>Age</v>
      </c>
      <c r="D1" s="8" t="str">
        <f>Sheet1!D1</f>
        <v>Gender</v>
      </c>
      <c r="E1" s="8" t="str">
        <f>Sheet1!E1</f>
        <v>Department</v>
      </c>
      <c r="F1" s="8" t="str">
        <f>Sheet1!F1</f>
        <v>Semester</v>
      </c>
      <c r="G1" s="8" t="str">
        <f>Sheet1!G1</f>
        <v>City</v>
      </c>
      <c r="H1" s="8" t="str">
        <f>Sheet1!H1</f>
        <v>GPA</v>
      </c>
      <c r="I1" s="8" t="str">
        <f>Sheet1!I1</f>
        <v>Attendance</v>
      </c>
    </row>
    <row r="2" spans="1:9" x14ac:dyDescent="0.35">
      <c r="A2" s="8" t="str">
        <f>Sheet1!A3</f>
        <v>S002</v>
      </c>
      <c r="B2" s="8" t="str">
        <f>Sheet1!B3</f>
        <v>Ayesha Ahmed</v>
      </c>
      <c r="C2" s="8">
        <f>Sheet1!C3</f>
        <v>21</v>
      </c>
      <c r="D2" s="8" t="str">
        <f>Sheet1!D3</f>
        <v>Female</v>
      </c>
      <c r="E2" s="8" t="str">
        <f>Sheet1!E3</f>
        <v>Software Engineering</v>
      </c>
      <c r="F2" s="8">
        <f>Sheet1!F3</f>
        <v>6</v>
      </c>
      <c r="G2" s="8" t="str">
        <f>Sheet1!G3</f>
        <v>Karachi</v>
      </c>
      <c r="H2" s="8">
        <f>Sheet1!H3</f>
        <v>3.8000000000000003</v>
      </c>
      <c r="I2" s="8">
        <f>Sheet1!I3</f>
        <v>0.88</v>
      </c>
    </row>
    <row r="3" spans="1:9" x14ac:dyDescent="0.35">
      <c r="A3" s="8" t="str">
        <f>Sheet1!A5</f>
        <v>S004</v>
      </c>
      <c r="B3" s="8" t="str">
        <f>Sheet1!B5</f>
        <v>Sana zaman</v>
      </c>
      <c r="C3" s="8">
        <f>Sheet1!C5</f>
        <v>20</v>
      </c>
      <c r="D3" s="8" t="str">
        <f>Sheet1!D5</f>
        <v>Female</v>
      </c>
      <c r="E3" s="8" t="str">
        <f>Sheet1!E5</f>
        <v>Computer Science</v>
      </c>
      <c r="F3" s="8">
        <f>Sheet1!F5</f>
        <v>5</v>
      </c>
      <c r="G3" s="8" t="str">
        <f>Sheet1!G5</f>
        <v>Faisalabad</v>
      </c>
      <c r="H3" s="8">
        <f>Sheet1!H5</f>
        <v>3.97</v>
      </c>
      <c r="I3" s="8">
        <f>Sheet1!I5</f>
        <v>0.95</v>
      </c>
    </row>
    <row r="4" spans="1:9" x14ac:dyDescent="0.35">
      <c r="A4" s="8" t="str">
        <f>Sheet1!A7</f>
        <v>S006</v>
      </c>
      <c r="B4" s="8" t="str">
        <f>Sheet1!B7</f>
        <v>Zainab Tariq</v>
      </c>
      <c r="C4" s="8">
        <f>Sheet1!C7</f>
        <v>22</v>
      </c>
      <c r="D4" s="8" t="str">
        <f>Sheet1!D7</f>
        <v>Female</v>
      </c>
      <c r="E4" s="8" t="str">
        <f>Sheet1!E7</f>
        <v>IT</v>
      </c>
      <c r="F4" s="8">
        <f>Sheet1!F7</f>
        <v>7</v>
      </c>
      <c r="G4" s="8" t="str">
        <f>Sheet1!G7</f>
        <v>Rawalpindi</v>
      </c>
      <c r="H4" s="8">
        <f>Sheet1!H7</f>
        <v>3.7600000000000002</v>
      </c>
      <c r="I4" s="8">
        <f>Sheet1!I7</f>
        <v>0.9</v>
      </c>
    </row>
    <row r="5" spans="1:9" x14ac:dyDescent="0.35">
      <c r="A5" s="8" t="str">
        <f>Sheet1!A9</f>
        <v>S008</v>
      </c>
      <c r="B5" s="8" t="str">
        <f>Sheet1!B9</f>
        <v>Maryam Noor</v>
      </c>
      <c r="C5" s="8">
        <f>Sheet1!C9</f>
        <v>21</v>
      </c>
      <c r="D5" s="8" t="str">
        <f>Sheet1!D9</f>
        <v>Female</v>
      </c>
      <c r="E5" s="8" t="str">
        <f>Sheet1!E9</f>
        <v>Software Engineering</v>
      </c>
      <c r="F5" s="8">
        <f>Sheet1!F9</f>
        <v>6</v>
      </c>
      <c r="G5" s="8" t="str">
        <f>Sheet1!G9</f>
        <v>Gujranwala</v>
      </c>
      <c r="H5" s="8">
        <f>Sheet1!H9</f>
        <v>4</v>
      </c>
      <c r="I5" s="8">
        <f>Sheet1!I9</f>
        <v>0.96</v>
      </c>
    </row>
    <row r="6" spans="1:9" x14ac:dyDescent="0.35">
      <c r="A6" s="8" t="str">
        <f>Sheet1!A11</f>
        <v>S010</v>
      </c>
      <c r="B6" s="8" t="str">
        <f>Sheet1!B11</f>
        <v>Laiba Khan</v>
      </c>
      <c r="C6" s="8">
        <f>Sheet1!C11</f>
        <v>20</v>
      </c>
      <c r="D6" s="8" t="str">
        <f>Sheet1!D11</f>
        <v>Female</v>
      </c>
      <c r="E6" s="8" t="str">
        <f>Sheet1!E11</f>
        <v>Data Science</v>
      </c>
      <c r="F6" s="8">
        <f>Sheet1!F11</f>
        <v>5</v>
      </c>
      <c r="G6" s="8" t="str">
        <f>Sheet1!G11</f>
        <v>Lahore</v>
      </c>
      <c r="H6" s="8">
        <f>Sheet1!H11</f>
        <v>3.64</v>
      </c>
      <c r="I6" s="8">
        <f>Sheet1!I11</f>
        <v>0.91</v>
      </c>
    </row>
    <row r="7" spans="1:9" x14ac:dyDescent="0.35">
      <c r="A7" s="8" t="str">
        <f>Sheet1!A13</f>
        <v>S012</v>
      </c>
      <c r="B7" s="8" t="str">
        <f>Sheet1!B13</f>
        <v>Hina Akram</v>
      </c>
      <c r="C7" s="8">
        <f>Sheet1!C13</f>
        <v>22</v>
      </c>
      <c r="D7" s="8" t="str">
        <f>Sheet1!D13</f>
        <v>Female</v>
      </c>
      <c r="E7" s="8" t="str">
        <f>Sheet1!E13</f>
        <v>IT</v>
      </c>
      <c r="F7" s="8">
        <f>Sheet1!F13</f>
        <v>7</v>
      </c>
      <c r="G7" s="8" t="str">
        <f>Sheet1!G13</f>
        <v>Islamabad</v>
      </c>
      <c r="H7" s="8">
        <f>Sheet1!H13</f>
        <v>3.89</v>
      </c>
      <c r="I7" s="8">
        <f>Sheet1!I13</f>
        <v>0.94</v>
      </c>
    </row>
    <row r="8" spans="1:9" x14ac:dyDescent="0.35">
      <c r="A8" s="8" t="str">
        <f>Sheet1!A15</f>
        <v>S014</v>
      </c>
      <c r="B8" s="8" t="str">
        <f>Sheet1!B15</f>
        <v>Sadia Iqbal</v>
      </c>
      <c r="C8" s="8">
        <f>Sheet1!C15</f>
        <v>23</v>
      </c>
      <c r="D8" s="8" t="str">
        <f>Sheet1!D15</f>
        <v>Female</v>
      </c>
      <c r="E8" s="8" t="str">
        <f>Sheet1!E15</f>
        <v>Software Engineering</v>
      </c>
      <c r="F8" s="8">
        <f>Sheet1!F15</f>
        <v>6</v>
      </c>
      <c r="G8" s="8" t="str">
        <f>Sheet1!G15</f>
        <v>Faisalabad</v>
      </c>
      <c r="H8" s="8">
        <f>Sheet1!H15</f>
        <v>3.5000000000000004</v>
      </c>
      <c r="I8" s="8">
        <f>Sheet1!I15</f>
        <v>0.84</v>
      </c>
    </row>
    <row r="9" spans="1:9" x14ac:dyDescent="0.35">
      <c r="A9" s="8" t="str">
        <f>Sheet1!A17</f>
        <v>S016</v>
      </c>
      <c r="B9" s="8" t="str">
        <f>Sheet1!B17</f>
        <v>Noor Fatima</v>
      </c>
      <c r="C9" s="8">
        <f>Sheet1!C17</f>
        <v>20</v>
      </c>
      <c r="D9" s="8" t="str">
        <f>Sheet1!D17</f>
        <v>Female</v>
      </c>
      <c r="E9" s="8" t="str">
        <f>Sheet1!E17</f>
        <v>Computer Science</v>
      </c>
      <c r="F9" s="8">
        <f>Sheet1!F17</f>
        <v>5</v>
      </c>
      <c r="G9" s="8" t="str">
        <f>Sheet1!G17</f>
        <v>Multan</v>
      </c>
      <c r="H9" s="8">
        <f>Sheet1!H17</f>
        <v>3.8600000000000003</v>
      </c>
      <c r="I9" s="8">
        <f>Sheet1!I17</f>
        <v>0.93</v>
      </c>
    </row>
    <row r="10" spans="1:9" x14ac:dyDescent="0.35">
      <c r="A10" s="8" t="str">
        <f>Sheet1!A19</f>
        <v>S018</v>
      </c>
      <c r="B10" s="8" t="str">
        <f>Sheet1!B19</f>
        <v>Mahnoor Ali</v>
      </c>
      <c r="C10" s="8">
        <f>Sheet1!C19</f>
        <v>21</v>
      </c>
      <c r="D10" s="8" t="str">
        <f>Sheet1!D19</f>
        <v>Female</v>
      </c>
      <c r="E10" s="8" t="str">
        <f>Sheet1!E19</f>
        <v>Data Science</v>
      </c>
      <c r="F10" s="8">
        <f>Sheet1!F19</f>
        <v>6</v>
      </c>
      <c r="G10" s="8" t="str">
        <f>Sheet1!G19</f>
        <v>Gujranwala</v>
      </c>
      <c r="H10" s="8">
        <f>Sheet1!H19</f>
        <v>3.7500000000000004</v>
      </c>
      <c r="I10" s="8">
        <f>Sheet1!I19</f>
        <v>0.88</v>
      </c>
    </row>
    <row r="11" spans="1:9" x14ac:dyDescent="0.35">
      <c r="A11" s="8" t="str">
        <f>Sheet1!A21</f>
        <v>S020</v>
      </c>
      <c r="B11" s="8" t="str">
        <f>Sheet1!B21</f>
        <v>Ayesha Ahmed</v>
      </c>
      <c r="C11" s="8">
        <f>Sheet1!C21</f>
        <v>21</v>
      </c>
      <c r="D11" s="8" t="str">
        <f>Sheet1!D21</f>
        <v>Female</v>
      </c>
      <c r="E11" s="8" t="str">
        <f>Sheet1!E21</f>
        <v>Software Engineering</v>
      </c>
      <c r="F11" s="8">
        <f>Sheet1!F21</f>
        <v>6</v>
      </c>
      <c r="G11" s="8" t="str">
        <f>Sheet1!G21</f>
        <v>Karachi</v>
      </c>
      <c r="H11" s="8">
        <f>Sheet1!H21</f>
        <v>3.8000000000000003</v>
      </c>
      <c r="I11" s="8">
        <f>Sheet1!I21</f>
        <v>0.88</v>
      </c>
    </row>
    <row r="12" spans="1:9" x14ac:dyDescent="0.35">
      <c r="A12" s="8" t="str">
        <f>Sheet1!A23</f>
        <v>S022</v>
      </c>
      <c r="B12" s="8" t="str">
        <f>Sheet1!B23</f>
        <v>Mehwish Khan</v>
      </c>
      <c r="C12" s="8">
        <f>Sheet1!C23</f>
        <v>22</v>
      </c>
      <c r="D12" s="8" t="str">
        <f>Sheet1!D23</f>
        <v>Female</v>
      </c>
      <c r="E12" s="8" t="str">
        <f>Sheet1!E23</f>
        <v>Computer Science</v>
      </c>
      <c r="F12" s="8">
        <f>Sheet1!F23</f>
        <v>7</v>
      </c>
      <c r="G12" s="8" t="str">
        <f>Sheet1!G23</f>
        <v>Multan</v>
      </c>
      <c r="H12" s="8">
        <f>Sheet1!H23</f>
        <v>3.6700000000000004</v>
      </c>
      <c r="I12" s="8">
        <f>Sheet1!I23</f>
        <v>0.9</v>
      </c>
    </row>
    <row r="13" spans="1:9" x14ac:dyDescent="0.35">
      <c r="A13" s="8" t="str">
        <f>Sheet1!A25</f>
        <v>S024</v>
      </c>
      <c r="B13" s="8" t="str">
        <f>Sheet1!B25</f>
        <v>Rabia Noor</v>
      </c>
      <c r="C13" s="8">
        <f>Sheet1!C25</f>
        <v>20</v>
      </c>
      <c r="D13" s="8" t="str">
        <f>Sheet1!D25</f>
        <v>Female</v>
      </c>
      <c r="E13" s="8" t="str">
        <f>Sheet1!E25</f>
        <v>Information Technology</v>
      </c>
      <c r="F13" s="8">
        <f>Sheet1!F25</f>
        <v>5</v>
      </c>
      <c r="G13" s="8" t="str">
        <f>Sheet1!G25</f>
        <v>Karachi</v>
      </c>
      <c r="H13" s="8">
        <f>Sheet1!H25</f>
        <v>4.03</v>
      </c>
      <c r="I13" s="8">
        <f>Sheet1!I25</f>
        <v>0.98</v>
      </c>
    </row>
    <row r="14" spans="1:9" x14ac:dyDescent="0.35">
      <c r="A14" s="8" t="str">
        <f>Sheet1!A27</f>
        <v>S026</v>
      </c>
      <c r="B14" s="8" t="str">
        <f>Sheet1!B27</f>
        <v>Nida Aslam</v>
      </c>
      <c r="C14" s="8">
        <f>Sheet1!C27</f>
        <v>21</v>
      </c>
      <c r="D14" s="8" t="str">
        <f>Sheet1!D27</f>
        <v>Female</v>
      </c>
      <c r="E14" s="8" t="str">
        <f>Sheet1!E27</f>
        <v>Computer Science</v>
      </c>
      <c r="F14" s="8">
        <f>Sheet1!F27</f>
        <v>6</v>
      </c>
      <c r="G14" s="8" t="str">
        <f>Sheet1!G27</f>
        <v>Sialkot</v>
      </c>
      <c r="H14" s="8">
        <f>Sheet1!H27</f>
        <v>3.8200000000000003</v>
      </c>
      <c r="I14" s="8">
        <f>Sheet1!I27</f>
        <v>0.92</v>
      </c>
    </row>
    <row r="15" spans="1:9" x14ac:dyDescent="0.35">
      <c r="A15" s="8" t="str">
        <f>Sheet1!A29</f>
        <v>S028</v>
      </c>
      <c r="B15" s="8" t="str">
        <f>Sheet1!B29</f>
        <v>Amna Tariq</v>
      </c>
      <c r="C15" s="8">
        <f>Sheet1!C29</f>
        <v>22</v>
      </c>
      <c r="D15" s="8" t="str">
        <f>Sheet1!D29</f>
        <v>Female</v>
      </c>
      <c r="E15" s="8" t="str">
        <f>Sheet1!E29</f>
        <v>Software Engineering</v>
      </c>
      <c r="F15" s="8">
        <f>Sheet1!F29</f>
        <v>7</v>
      </c>
      <c r="G15" s="8" t="str">
        <f>Sheet1!G29</f>
        <v>Lahore</v>
      </c>
      <c r="H15" s="8">
        <f>Sheet1!H29</f>
        <v>3.91</v>
      </c>
      <c r="I15" s="8">
        <f>Sheet1!I29</f>
        <v>0.95</v>
      </c>
    </row>
    <row r="16" spans="1:9" x14ac:dyDescent="0.35">
      <c r="A16" s="8" t="str">
        <f>Sheet1!A31</f>
        <v>S030</v>
      </c>
      <c r="B16" s="8" t="str">
        <f>Sheet1!B31</f>
        <v>Areeba Malik</v>
      </c>
      <c r="C16" s="8">
        <f>Sheet1!C31</f>
        <v>20</v>
      </c>
      <c r="D16" s="8" t="str">
        <f>Sheet1!D31</f>
        <v>Female</v>
      </c>
      <c r="E16" s="8" t="str">
        <f>Sheet1!E31</f>
        <v>Data Science</v>
      </c>
      <c r="F16" s="8">
        <f>Sheet1!F31</f>
        <v>5</v>
      </c>
      <c r="G16" s="8" t="str">
        <f>Sheet1!G31</f>
        <v>Islamabad</v>
      </c>
      <c r="H16" s="8">
        <f>Sheet1!H31</f>
        <v>3.7800000000000002</v>
      </c>
      <c r="I16" s="8">
        <f>Sheet1!I31</f>
        <v>0.94</v>
      </c>
    </row>
    <row r="17" spans="1:9" x14ac:dyDescent="0.35">
      <c r="A17" s="8" t="str">
        <f>Sheet1!A33</f>
        <v>S032</v>
      </c>
      <c r="B17" s="8" t="str">
        <f>Sheet1!B33</f>
        <v>Eman Fatima</v>
      </c>
      <c r="C17" s="8">
        <f>Sheet1!C33</f>
        <v>20</v>
      </c>
      <c r="D17" s="8" t="str">
        <f>Sheet1!D33</f>
        <v>Female</v>
      </c>
      <c r="E17" s="8" t="str">
        <f>Sheet1!E33</f>
        <v>Computer Science</v>
      </c>
      <c r="F17" s="8">
        <f>Sheet1!F33</f>
        <v>5</v>
      </c>
      <c r="G17" s="8" t="str">
        <f>Sheet1!G33</f>
        <v>Lahore</v>
      </c>
      <c r="H17" s="8">
        <f>Sheet1!H33</f>
        <v>4.05</v>
      </c>
      <c r="I17" s="8">
        <f>Sheet1!I33</f>
        <v>0.99</v>
      </c>
    </row>
    <row r="18" spans="1:9" x14ac:dyDescent="0.35">
      <c r="A18" s="8" t="str">
        <f>Sheet1!A35</f>
        <v>S034</v>
      </c>
      <c r="B18" s="8" t="str">
        <f>Sheet1!B35</f>
        <v>Sana zaman</v>
      </c>
      <c r="C18" s="8">
        <f>Sheet1!C35</f>
        <v>20</v>
      </c>
      <c r="D18" s="8" t="str">
        <f>Sheet1!D35</f>
        <v>Female</v>
      </c>
      <c r="E18" s="8" t="str">
        <f>Sheet1!E35</f>
        <v>Computer Science</v>
      </c>
      <c r="F18" s="8">
        <f>Sheet1!F35</f>
        <v>5</v>
      </c>
      <c r="G18" s="8" t="str">
        <f>Sheet1!G35</f>
        <v>Faisalabad</v>
      </c>
      <c r="H18" s="8">
        <f>Sheet1!H35</f>
        <v>3.97</v>
      </c>
      <c r="I18" s="8">
        <f>Sheet1!I35</f>
        <v>0.95</v>
      </c>
    </row>
    <row r="19" spans="1:9" x14ac:dyDescent="0.35">
      <c r="A19" s="8" t="str">
        <f>Sheet1!A37</f>
        <v>S036</v>
      </c>
      <c r="B19" s="8" t="str">
        <f>Sheet1!B37</f>
        <v xml:space="preserve">Maria  </v>
      </c>
      <c r="C19" s="8">
        <f>Sheet1!C37</f>
        <v>22</v>
      </c>
      <c r="D19" s="8" t="str">
        <f>Sheet1!D37</f>
        <v>Female</v>
      </c>
      <c r="E19" s="8" t="str">
        <f>Sheet1!E37</f>
        <v>Computer Science</v>
      </c>
      <c r="F19" s="8">
        <f>Sheet1!F37</f>
        <v>7</v>
      </c>
      <c r="G19" s="8" t="str">
        <f>Sheet1!G37</f>
        <v>Multan</v>
      </c>
      <c r="H19" s="8">
        <f>Sheet1!H37</f>
        <v>3.6100000000000003</v>
      </c>
      <c r="I19" s="8">
        <f>Sheet1!I37</f>
        <v>0.89</v>
      </c>
    </row>
    <row r="20" spans="1:9" x14ac:dyDescent="0.35">
      <c r="A20" s="8" t="str">
        <f>Sheet1!A39</f>
        <v>S038</v>
      </c>
      <c r="B20" s="8" t="str">
        <f>Sheet1!B39</f>
        <v>Hoor Fatima</v>
      </c>
      <c r="C20" s="8">
        <f>Sheet1!C39</f>
        <v>21</v>
      </c>
      <c r="D20" s="8" t="str">
        <f>Sheet1!D39</f>
        <v>Female</v>
      </c>
      <c r="E20" s="8" t="str">
        <f>Sheet1!E39</f>
        <v>Computer Science</v>
      </c>
      <c r="F20" s="8">
        <f>Sheet1!F39</f>
        <v>6</v>
      </c>
      <c r="G20" s="8" t="str">
        <f>Sheet1!G39</f>
        <v>Lahore</v>
      </c>
      <c r="H20" s="8">
        <f>Sheet1!H39</f>
        <v>3.7700000000000005</v>
      </c>
      <c r="I20" s="8">
        <f>Sheet1!I39</f>
        <v>0.91</v>
      </c>
    </row>
    <row r="21" spans="1:9" x14ac:dyDescent="0.35">
      <c r="A21" s="8" t="str">
        <f>Sheet1!A41</f>
        <v>S040</v>
      </c>
      <c r="B21" s="8" t="str">
        <f>Sheet1!B41</f>
        <v>Anum Shah</v>
      </c>
      <c r="C21" s="8">
        <f>Sheet1!C41</f>
        <v>20</v>
      </c>
      <c r="D21" s="8" t="str">
        <f>Sheet1!D41</f>
        <v>Female</v>
      </c>
      <c r="E21" s="8" t="str">
        <f>Sheet1!E41</f>
        <v>Computer Science</v>
      </c>
      <c r="F21" s="8">
        <f>Sheet1!F41</f>
        <v>5</v>
      </c>
      <c r="G21" s="8" t="str">
        <f>Sheet1!G41</f>
        <v>Faisalabad</v>
      </c>
      <c r="H21" s="8">
        <f>Sheet1!H41</f>
        <v>3.3800000000000003</v>
      </c>
      <c r="I21" s="8">
        <f>Sheet1!I41</f>
        <v>0.9</v>
      </c>
    </row>
    <row r="22" spans="1:9" x14ac:dyDescent="0.35">
      <c r="A22" s="8" t="str">
        <f>Sheet1!A43</f>
        <v>S042</v>
      </c>
      <c r="B22" s="8" t="str">
        <f>Sheet1!B43</f>
        <v>Maria Noor</v>
      </c>
      <c r="C22" s="8">
        <f>Sheet1!C43</f>
        <v>20</v>
      </c>
      <c r="D22" s="8" t="str">
        <f>Sheet1!D43</f>
        <v>Female</v>
      </c>
      <c r="E22" s="8" t="str">
        <f>Sheet1!E43</f>
        <v>Computer Science</v>
      </c>
      <c r="F22" s="8">
        <f>Sheet1!F43</f>
        <v>5</v>
      </c>
      <c r="G22" s="8" t="str">
        <f>Sheet1!G43</f>
        <v>Islamabad</v>
      </c>
      <c r="H22" s="8">
        <f>Sheet1!H43</f>
        <v>3.87</v>
      </c>
      <c r="I22" s="8">
        <f>Sheet1!I43</f>
        <v>0.94</v>
      </c>
    </row>
    <row r="23" spans="1:9" x14ac:dyDescent="0.35">
      <c r="A23" s="8" t="str">
        <f>Sheet1!A45</f>
        <v>S044</v>
      </c>
      <c r="B23" s="8" t="str">
        <f>Sheet1!B45</f>
        <v>Areeba Malik</v>
      </c>
      <c r="C23" s="8">
        <f>Sheet1!C45</f>
        <v>20</v>
      </c>
      <c r="D23" s="8" t="str">
        <f>Sheet1!D45</f>
        <v>Female</v>
      </c>
      <c r="E23" s="8" t="str">
        <f>Sheet1!E45</f>
        <v>Computer Science</v>
      </c>
      <c r="F23" s="8">
        <f>Sheet1!F45</f>
        <v>5</v>
      </c>
      <c r="G23" s="8" t="str">
        <f>Sheet1!G45</f>
        <v>Islamabad</v>
      </c>
      <c r="H23" s="8">
        <f>Sheet1!H45</f>
        <v>3.7800000000000002</v>
      </c>
      <c r="I23" s="8">
        <f>Sheet1!I45</f>
        <v>0.94</v>
      </c>
    </row>
    <row r="24" spans="1:9" x14ac:dyDescent="0.35">
      <c r="A24" s="8" t="str">
        <f>Sheet1!A46</f>
        <v>S045</v>
      </c>
      <c r="B24" s="8" t="str">
        <f>Sheet1!B46</f>
        <v>Dua Khan</v>
      </c>
      <c r="C24" s="8">
        <f>Sheet1!C46</f>
        <v>22</v>
      </c>
      <c r="D24" s="8" t="str">
        <f>Sheet1!D46</f>
        <v>Female</v>
      </c>
      <c r="E24" s="8" t="str">
        <f>Sheet1!E46</f>
        <v>Computer Science</v>
      </c>
      <c r="F24" s="8">
        <f>Sheet1!F46</f>
        <v>7</v>
      </c>
      <c r="G24" s="8" t="str">
        <f>Sheet1!G46</f>
        <v>Rawalpindi</v>
      </c>
      <c r="H24" s="8">
        <f>Sheet1!H46</f>
        <v>3.5600000000000005</v>
      </c>
      <c r="I24" s="8">
        <f>Sheet1!I46</f>
        <v>0.88</v>
      </c>
    </row>
    <row r="25" spans="1:9" x14ac:dyDescent="0.35">
      <c r="A25" s="8" t="str">
        <f>Sheet1!A48</f>
        <v>S047</v>
      </c>
      <c r="B25" s="8" t="str">
        <f>Sheet1!B48</f>
        <v>Komal Tariq</v>
      </c>
      <c r="C25" s="8">
        <f>Sheet1!C48</f>
        <v>20</v>
      </c>
      <c r="D25" s="8" t="str">
        <f>Sheet1!D48</f>
        <v>Female</v>
      </c>
      <c r="E25" s="8" t="str">
        <f>Sheet1!E48</f>
        <v>Computer Science</v>
      </c>
      <c r="F25" s="8">
        <f>Sheet1!F48</f>
        <v>5</v>
      </c>
      <c r="G25" s="8" t="str">
        <f>Sheet1!G48</f>
        <v>Multan</v>
      </c>
      <c r="H25" s="8">
        <f>Sheet1!H48</f>
        <v>4.0200000000000005</v>
      </c>
      <c r="I25" s="8">
        <f>Sheet1!I48</f>
        <v>0.97</v>
      </c>
    </row>
    <row r="26" spans="1:9" x14ac:dyDescent="0.35">
      <c r="A26" s="8" t="str">
        <f>Sheet1!A50</f>
        <v>S049</v>
      </c>
      <c r="B26" s="8" t="str">
        <f>Sheet1!B50</f>
        <v>Minal Noor</v>
      </c>
      <c r="C26" s="8">
        <f>Sheet1!C50</f>
        <v>21</v>
      </c>
      <c r="D26" s="8" t="str">
        <f>Sheet1!D50</f>
        <v>Female</v>
      </c>
      <c r="E26" s="8" t="str">
        <f>Sheet1!E50</f>
        <v>Computer Science</v>
      </c>
      <c r="F26" s="8">
        <f>Sheet1!F50</f>
        <v>6</v>
      </c>
      <c r="G26" s="8" t="str">
        <f>Sheet1!G50</f>
        <v>Lahore</v>
      </c>
      <c r="H26" s="8">
        <f>Sheet1!H50</f>
        <v>3.8100000000000005</v>
      </c>
      <c r="I26" s="8">
        <f>Sheet1!I50</f>
        <v>0.93</v>
      </c>
    </row>
    <row r="27" spans="1:9" x14ac:dyDescent="0.35">
      <c r="A27" s="8" t="str">
        <f>Sheet1!A53</f>
        <v>S052</v>
      </c>
      <c r="B27" s="8" t="str">
        <f>Sheet1!B53</f>
        <v>Ayesha Ahmed</v>
      </c>
      <c r="C27" s="8">
        <f>Sheet1!C53</f>
        <v>21</v>
      </c>
      <c r="D27" s="8" t="str">
        <f>Sheet1!D53</f>
        <v>Female</v>
      </c>
      <c r="E27" s="8" t="str">
        <f>Sheet1!E53</f>
        <v>Computer Science</v>
      </c>
      <c r="F27" s="8">
        <f>Sheet1!F53</f>
        <v>6</v>
      </c>
      <c r="G27" s="8" t="str">
        <f>Sheet1!G53</f>
        <v>Karachi</v>
      </c>
      <c r="H27" s="8">
        <f>Sheet1!H53</f>
        <v>3.8000000000000003</v>
      </c>
      <c r="I27" s="8">
        <f>Sheet1!I53</f>
        <v>0.88</v>
      </c>
    </row>
    <row r="28" spans="1:9" x14ac:dyDescent="0.35">
      <c r="A28" s="8" t="str">
        <f>Sheet1!A55</f>
        <v>S054</v>
      </c>
      <c r="B28" s="8" t="str">
        <f>Sheet1!B55</f>
        <v>Sana Malik</v>
      </c>
      <c r="C28" s="8">
        <f>Sheet1!C55</f>
        <v>20</v>
      </c>
      <c r="D28" s="8" t="str">
        <f>Sheet1!D55</f>
        <v>Female</v>
      </c>
      <c r="E28" s="8" t="str">
        <f>Sheet1!E55</f>
        <v>Computer Science</v>
      </c>
      <c r="F28" s="8">
        <f>Sheet1!F55</f>
        <v>5</v>
      </c>
      <c r="G28" s="8" t="str">
        <f>Sheet1!G55</f>
        <v>Faisalabad</v>
      </c>
      <c r="H28" s="8">
        <f>Sheet1!H55</f>
        <v>3.97</v>
      </c>
      <c r="I28" s="8">
        <f>Sheet1!I55</f>
        <v>0.95</v>
      </c>
    </row>
    <row r="29" spans="1:9" x14ac:dyDescent="0.35">
      <c r="A29" s="8" t="str">
        <f>Sheet1!A57</f>
        <v>S056</v>
      </c>
      <c r="B29" s="8" t="str">
        <f>Sheet1!B57</f>
        <v>Zainab Tariq</v>
      </c>
      <c r="C29" s="8">
        <f>Sheet1!C57</f>
        <v>22</v>
      </c>
      <c r="D29" s="8" t="str">
        <f>Sheet1!D57</f>
        <v>Female</v>
      </c>
      <c r="E29" s="8" t="str">
        <f>Sheet1!E57</f>
        <v>Computer Science</v>
      </c>
      <c r="F29" s="8">
        <f>Sheet1!F57</f>
        <v>7</v>
      </c>
      <c r="G29" s="8" t="str">
        <f>Sheet1!G57</f>
        <v>Rawalpindi</v>
      </c>
      <c r="H29" s="8">
        <f>Sheet1!H57</f>
        <v>3.7600000000000002</v>
      </c>
      <c r="I29" s="8">
        <f>Sheet1!I57</f>
        <v>0.9</v>
      </c>
    </row>
    <row r="30" spans="1:9" x14ac:dyDescent="0.35">
      <c r="A30" s="8" t="str">
        <f>Sheet1!A59</f>
        <v>S058</v>
      </c>
      <c r="B30" s="8" t="str">
        <f>Sheet1!B59</f>
        <v>Maryam Noor</v>
      </c>
      <c r="C30" s="8">
        <f>Sheet1!C59</f>
        <v>21</v>
      </c>
      <c r="D30" s="8" t="str">
        <f>Sheet1!D59</f>
        <v>Female</v>
      </c>
      <c r="E30" s="8" t="str">
        <f>Sheet1!E59</f>
        <v>Computer Science</v>
      </c>
      <c r="F30" s="8">
        <f>Sheet1!F59</f>
        <v>6</v>
      </c>
      <c r="G30" s="8" t="str">
        <f>Sheet1!G59</f>
        <v>Gujranwala</v>
      </c>
      <c r="H30" s="8">
        <f>Sheet1!H59</f>
        <v>4</v>
      </c>
      <c r="I30" s="8">
        <f>Sheet1!I59</f>
        <v>0.96</v>
      </c>
    </row>
    <row r="31" spans="1:9" x14ac:dyDescent="0.35">
      <c r="A31" s="8" t="str">
        <f>Sheet1!A61</f>
        <v>S060</v>
      </c>
      <c r="B31" s="8" t="str">
        <f>Sheet1!B61</f>
        <v>Laiba Khan</v>
      </c>
      <c r="C31" s="8">
        <f>Sheet1!C61</f>
        <v>20</v>
      </c>
      <c r="D31" s="8" t="str">
        <f>Sheet1!D61</f>
        <v>Female</v>
      </c>
      <c r="E31" s="8" t="str">
        <f>Sheet1!E61</f>
        <v>Computer Science</v>
      </c>
      <c r="F31" s="8">
        <f>Sheet1!F61</f>
        <v>5</v>
      </c>
      <c r="G31" s="8" t="str">
        <f>Sheet1!G61</f>
        <v>Lahore</v>
      </c>
      <c r="H31" s="8">
        <f>Sheet1!H61</f>
        <v>3.64</v>
      </c>
      <c r="I31" s="8">
        <f>Sheet1!I61</f>
        <v>0.91</v>
      </c>
    </row>
    <row r="32" spans="1:9" x14ac:dyDescent="0.35">
      <c r="A32" s="8" t="str">
        <f>Sheet1!A63</f>
        <v>S062</v>
      </c>
      <c r="B32" s="8" t="str">
        <f>Sheet1!B63</f>
        <v>Hina Akram</v>
      </c>
      <c r="C32" s="8">
        <f>Sheet1!C63</f>
        <v>22</v>
      </c>
      <c r="D32" s="8" t="str">
        <f>Sheet1!D63</f>
        <v>Female</v>
      </c>
      <c r="E32" s="8" t="str">
        <f>Sheet1!E63</f>
        <v>Computer Science</v>
      </c>
      <c r="F32" s="8">
        <f>Sheet1!F63</f>
        <v>7</v>
      </c>
      <c r="G32" s="8" t="str">
        <f>Sheet1!G63</f>
        <v>Islamabad</v>
      </c>
      <c r="H32" s="8">
        <f>Sheet1!H63</f>
        <v>3.89</v>
      </c>
      <c r="I32" s="8">
        <f>Sheet1!I63</f>
        <v>0.94</v>
      </c>
    </row>
    <row r="33" spans="1:9" x14ac:dyDescent="0.35">
      <c r="A33" s="8" t="str">
        <f>Sheet1!A64</f>
        <v>S063</v>
      </c>
      <c r="B33" s="8" t="str">
        <f>Sheet1!B64</f>
        <v>Aiman Ali</v>
      </c>
      <c r="C33" s="8">
        <f>Sheet1!C64</f>
        <v>20</v>
      </c>
      <c r="D33" s="8" t="str">
        <f>Sheet1!D64</f>
        <v>Female</v>
      </c>
      <c r="E33" s="8" t="str">
        <f>Sheet1!E64</f>
        <v>Computer Science</v>
      </c>
      <c r="F33" s="8">
        <f>Sheet1!F64</f>
        <v>5</v>
      </c>
      <c r="G33" s="8" t="str">
        <f>Sheet1!G64</f>
        <v>Lahore</v>
      </c>
      <c r="H33" s="8">
        <f>Sheet1!H64</f>
        <v>3.6900000000000004</v>
      </c>
      <c r="I33" s="8">
        <f>Sheet1!I64</f>
        <v>0.9</v>
      </c>
    </row>
    <row r="34" spans="1:9" x14ac:dyDescent="0.35">
      <c r="A34" s="8" t="str">
        <f>Sheet1!A66</f>
        <v>S065</v>
      </c>
      <c r="B34" s="8" t="str">
        <f>Sheet1!B66</f>
        <v>Fiza Noor</v>
      </c>
      <c r="C34" s="8">
        <f>Sheet1!C66</f>
        <v>22</v>
      </c>
      <c r="D34" s="8" t="str">
        <f>Sheet1!D66</f>
        <v>Female</v>
      </c>
      <c r="E34" s="8" t="str">
        <f>Sheet1!E66</f>
        <v>Computer Science</v>
      </c>
      <c r="F34" s="8">
        <f>Sheet1!F66</f>
        <v>7</v>
      </c>
      <c r="G34" s="8" t="str">
        <f>Sheet1!G66</f>
        <v>Multan</v>
      </c>
      <c r="H34" s="8">
        <f>Sheet1!H66</f>
        <v>3.9200000000000004</v>
      </c>
      <c r="I34" s="8">
        <f>Sheet1!I66</f>
        <v>0.95</v>
      </c>
    </row>
    <row r="35" spans="1:9" x14ac:dyDescent="0.35">
      <c r="A35" s="8" t="str">
        <f>Sheet1!A68</f>
        <v>S067</v>
      </c>
      <c r="B35" s="8" t="str">
        <f>Sheet1!B68</f>
        <v>Noor Fatima</v>
      </c>
      <c r="C35" s="8">
        <f>Sheet1!C68</f>
        <v>20</v>
      </c>
      <c r="D35" s="8" t="str">
        <f>Sheet1!D68</f>
        <v>Female</v>
      </c>
      <c r="E35" s="8" t="str">
        <f>Sheet1!E68</f>
        <v>Computer Science</v>
      </c>
      <c r="F35" s="8">
        <f>Sheet1!F68</f>
        <v>5</v>
      </c>
      <c r="G35" s="8" t="str">
        <f>Sheet1!G68</f>
        <v>Lahore</v>
      </c>
      <c r="H35" s="8">
        <f>Sheet1!H68</f>
        <v>3.8600000000000003</v>
      </c>
      <c r="I35" s="8">
        <f>Sheet1!I68</f>
        <v>0.93</v>
      </c>
    </row>
    <row r="36" spans="1:9" x14ac:dyDescent="0.35">
      <c r="A36" s="8" t="str">
        <f>Sheet1!A70</f>
        <v>S069</v>
      </c>
      <c r="B36" s="8" t="str">
        <f>Sheet1!B70</f>
        <v>Mahnoor Ali</v>
      </c>
      <c r="C36" s="8">
        <f>Sheet1!C70</f>
        <v>21</v>
      </c>
      <c r="D36" s="8" t="str">
        <f>Sheet1!D70</f>
        <v>Female</v>
      </c>
      <c r="E36" s="8" t="str">
        <f>Sheet1!E70</f>
        <v>Computer Science</v>
      </c>
      <c r="F36" s="8">
        <f>Sheet1!F70</f>
        <v>6</v>
      </c>
      <c r="G36" s="8" t="str">
        <f>Sheet1!G70</f>
        <v>Gujranwala</v>
      </c>
      <c r="H36" s="8">
        <f>Sheet1!H70</f>
        <v>3.7500000000000004</v>
      </c>
      <c r="I36" s="8">
        <f>Sheet1!I70</f>
        <v>0.89</v>
      </c>
    </row>
    <row r="37" spans="1:9" x14ac:dyDescent="0.35">
      <c r="A37" s="8" t="str">
        <f>Sheet1!A73</f>
        <v>S072</v>
      </c>
      <c r="B37" s="8" t="str">
        <f>Sheet1!B73</f>
        <v>Dua Khan</v>
      </c>
      <c r="C37" s="8">
        <f>Sheet1!C73</f>
        <v>22</v>
      </c>
      <c r="D37" s="8" t="str">
        <f>Sheet1!D73</f>
        <v>Female</v>
      </c>
      <c r="E37" s="8" t="str">
        <f>Sheet1!E73</f>
        <v>Computer Science</v>
      </c>
      <c r="F37" s="8">
        <f>Sheet1!F73</f>
        <v>7</v>
      </c>
      <c r="G37" s="8" t="str">
        <f>Sheet1!G73</f>
        <v>Rawalpindi</v>
      </c>
      <c r="H37" s="8">
        <f>Sheet1!H73</f>
        <v>3.5600000000000005</v>
      </c>
      <c r="I37" s="8">
        <f>Sheet1!I73</f>
        <v>0.88</v>
      </c>
    </row>
    <row r="38" spans="1:9" x14ac:dyDescent="0.35">
      <c r="A38" s="8" t="str">
        <f>Sheet1!A75</f>
        <v>S074</v>
      </c>
      <c r="B38" s="8" t="str">
        <f>Sheet1!B75</f>
        <v>Komal Tariq</v>
      </c>
      <c r="C38" s="8">
        <f>Sheet1!C75</f>
        <v>20</v>
      </c>
      <c r="D38" s="8" t="str">
        <f>Sheet1!D75</f>
        <v>Female</v>
      </c>
      <c r="E38" s="8" t="str">
        <f>Sheet1!E75</f>
        <v>Computer Science</v>
      </c>
      <c r="F38" s="8">
        <f>Sheet1!F75</f>
        <v>5</v>
      </c>
      <c r="G38" s="8" t="str">
        <f>Sheet1!G75</f>
        <v>Multan</v>
      </c>
      <c r="H38" s="8">
        <f>Sheet1!H75</f>
        <v>4.0200000000000005</v>
      </c>
      <c r="I38" s="8">
        <f>Sheet1!I75</f>
        <v>0.97</v>
      </c>
    </row>
    <row r="39" spans="1:9" x14ac:dyDescent="0.35">
      <c r="A39" s="8" t="str">
        <f>Sheet1!A77</f>
        <v>S076</v>
      </c>
      <c r="B39" s="8" t="str">
        <f>Sheet1!B77</f>
        <v>Minal Noor</v>
      </c>
      <c r="C39" s="8">
        <f>Sheet1!C77</f>
        <v>21</v>
      </c>
      <c r="D39" s="8" t="str">
        <f>Sheet1!D77</f>
        <v>Female</v>
      </c>
      <c r="E39" s="8" t="str">
        <f>Sheet1!E77</f>
        <v>Computer Science</v>
      </c>
      <c r="F39" s="8">
        <f>Sheet1!F77</f>
        <v>6</v>
      </c>
      <c r="G39" s="8" t="str">
        <f>Sheet1!G77</f>
        <v>Lahore</v>
      </c>
      <c r="H39" s="8">
        <f>Sheet1!H77</f>
        <v>3.8100000000000005</v>
      </c>
      <c r="I39" s="8">
        <f>Sheet1!I77</f>
        <v>0.93</v>
      </c>
    </row>
    <row r="40" spans="1:9" x14ac:dyDescent="0.35">
      <c r="A40" s="8" t="str">
        <f>Sheet1!A79</f>
        <v>S078</v>
      </c>
      <c r="B40" s="8" t="str">
        <f>Sheet1!B79</f>
        <v>Rabia Noor</v>
      </c>
      <c r="C40" s="8">
        <f>Sheet1!C79</f>
        <v>20</v>
      </c>
      <c r="D40" s="8" t="str">
        <f>Sheet1!D79</f>
        <v>Female</v>
      </c>
      <c r="E40" s="8" t="str">
        <f>Sheet1!E79</f>
        <v>Computer Science</v>
      </c>
      <c r="F40" s="8">
        <f>Sheet1!F79</f>
        <v>5</v>
      </c>
      <c r="G40" s="8" t="str">
        <f>Sheet1!G79</f>
        <v>Karachi</v>
      </c>
      <c r="H40" s="8">
        <f>Sheet1!H79</f>
        <v>4.03</v>
      </c>
      <c r="I40" s="8">
        <f>Sheet1!I79</f>
        <v>0.98</v>
      </c>
    </row>
    <row r="41" spans="1:9" x14ac:dyDescent="0.35">
      <c r="A41" s="8" t="str">
        <f>Sheet1!A81</f>
        <v>S080</v>
      </c>
      <c r="B41" s="8" t="str">
        <f>Sheet1!B81</f>
        <v>Nida Aslam</v>
      </c>
      <c r="C41" s="8">
        <f>Sheet1!C81</f>
        <v>21</v>
      </c>
      <c r="D41" s="8" t="str">
        <f>Sheet1!D81</f>
        <v>Female</v>
      </c>
      <c r="E41" s="8" t="str">
        <f>Sheet1!E81</f>
        <v>Computer Science</v>
      </c>
      <c r="F41" s="8">
        <f>Sheet1!F81</f>
        <v>6</v>
      </c>
      <c r="G41" s="8" t="str">
        <f>Sheet1!G81</f>
        <v>Sialkot</v>
      </c>
      <c r="H41" s="8">
        <f>Sheet1!H81</f>
        <v>3.8200000000000003</v>
      </c>
      <c r="I41" s="8">
        <f>Sheet1!I81</f>
        <v>0.92</v>
      </c>
    </row>
    <row r="42" spans="1:9" x14ac:dyDescent="0.35">
      <c r="A42" s="8" t="str">
        <f>Sheet1!A83</f>
        <v>S082</v>
      </c>
      <c r="B42" s="8" t="str">
        <f>Sheet1!B83</f>
        <v>Amna Tariq</v>
      </c>
      <c r="C42" s="8">
        <f>Sheet1!C83</f>
        <v>22</v>
      </c>
      <c r="D42" s="8" t="str">
        <f>Sheet1!D83</f>
        <v>Female</v>
      </c>
      <c r="E42" s="8" t="str">
        <f>Sheet1!E83</f>
        <v>Computer Science</v>
      </c>
      <c r="F42" s="8">
        <f>Sheet1!F83</f>
        <v>7</v>
      </c>
      <c r="G42" s="8" t="str">
        <f>Sheet1!G83</f>
        <v>Lahore</v>
      </c>
      <c r="H42" s="8">
        <f>Sheet1!H83</f>
        <v>3.91</v>
      </c>
      <c r="I42" s="8">
        <f>Sheet1!I83</f>
        <v>0.95</v>
      </c>
    </row>
    <row r="43" spans="1:9" x14ac:dyDescent="0.35">
      <c r="A43" s="8" t="str">
        <f>Sheet1!A85</f>
        <v>S084</v>
      </c>
      <c r="B43" s="8" t="str">
        <f>Sheet1!B85</f>
        <v>Areeba Malik</v>
      </c>
      <c r="C43" s="8">
        <f>Sheet1!C85</f>
        <v>20</v>
      </c>
      <c r="D43" s="8" t="str">
        <f>Sheet1!D85</f>
        <v>Female</v>
      </c>
      <c r="E43" s="8" t="str">
        <f>Sheet1!E85</f>
        <v>Computer Science</v>
      </c>
      <c r="F43" s="8">
        <f>Sheet1!F85</f>
        <v>5</v>
      </c>
      <c r="G43" s="8" t="str">
        <f>Sheet1!G85</f>
        <v>Islamabad</v>
      </c>
      <c r="H43" s="8">
        <f>Sheet1!H85</f>
        <v>3.7800000000000002</v>
      </c>
      <c r="I43" s="8">
        <f>Sheet1!I85</f>
        <v>0.94</v>
      </c>
    </row>
    <row r="44" spans="1:9" x14ac:dyDescent="0.35">
      <c r="A44" s="8" t="str">
        <f>Sheet1!A87</f>
        <v>S086</v>
      </c>
      <c r="B44" s="8" t="str">
        <f>Sheet1!B87</f>
        <v>Eman Fatima</v>
      </c>
      <c r="C44" s="8">
        <f>Sheet1!C87</f>
        <v>20</v>
      </c>
      <c r="D44" s="8" t="str">
        <f>Sheet1!D87</f>
        <v>Female</v>
      </c>
      <c r="E44" s="8" t="str">
        <f>Sheet1!E87</f>
        <v>Computer Science</v>
      </c>
      <c r="F44" s="8">
        <f>Sheet1!F87</f>
        <v>5</v>
      </c>
      <c r="G44" s="8" t="str">
        <f>Sheet1!G87</f>
        <v>Lahore</v>
      </c>
      <c r="H44" s="8">
        <f>Sheet1!H87</f>
        <v>4.05</v>
      </c>
      <c r="I44" s="8">
        <f>Sheet1!I87</f>
        <v>0.99</v>
      </c>
    </row>
    <row r="45" spans="1:9" x14ac:dyDescent="0.35">
      <c r="A45" s="8" t="str">
        <f>Sheet1!A89</f>
        <v>S088</v>
      </c>
      <c r="B45" s="8" t="str">
        <f>Sheet1!B89</f>
        <v>Hoor Fatima</v>
      </c>
      <c r="C45" s="8">
        <f>Sheet1!C89</f>
        <v>21</v>
      </c>
      <c r="D45" s="8" t="str">
        <f>Sheet1!D89</f>
        <v>Female</v>
      </c>
      <c r="E45" s="8" t="str">
        <f>Sheet1!E89</f>
        <v>Computer Science</v>
      </c>
      <c r="F45" s="8">
        <f>Sheet1!F89</f>
        <v>6</v>
      </c>
      <c r="G45" s="8" t="str">
        <f>Sheet1!G89</f>
        <v>Lahore</v>
      </c>
      <c r="H45" s="8">
        <f>Sheet1!H89</f>
        <v>3.7700000000000005</v>
      </c>
      <c r="I45" s="8">
        <f>Sheet1!I89</f>
        <v>0.91</v>
      </c>
    </row>
    <row r="46" spans="1:9" x14ac:dyDescent="0.35">
      <c r="A46" s="8" t="str">
        <f>Sheet1!A91</f>
        <v>S090</v>
      </c>
      <c r="B46" s="8" t="str">
        <f>Sheet1!B91</f>
        <v>Anum Shah</v>
      </c>
      <c r="C46" s="8">
        <f>Sheet1!C91</f>
        <v>20</v>
      </c>
      <c r="D46" s="8" t="str">
        <f>Sheet1!D91</f>
        <v>Female</v>
      </c>
      <c r="E46" s="8" t="str">
        <f>Sheet1!E91</f>
        <v>Computer Science</v>
      </c>
      <c r="F46" s="8">
        <f>Sheet1!F91</f>
        <v>5</v>
      </c>
      <c r="G46" s="8" t="str">
        <f>Sheet1!G91</f>
        <v>Faisalabad</v>
      </c>
      <c r="H46" s="8">
        <f>Sheet1!H91</f>
        <v>3.5300000000000002</v>
      </c>
      <c r="I46" s="8">
        <f>Sheet1!I91</f>
        <v>0.9</v>
      </c>
    </row>
    <row r="47" spans="1:9" x14ac:dyDescent="0.35">
      <c r="A47" s="8" t="str">
        <f>Sheet1!A93</f>
        <v>S092</v>
      </c>
      <c r="B47" s="8" t="str">
        <f>Sheet1!B93</f>
        <v>Maria Noor</v>
      </c>
      <c r="C47" s="8">
        <f>Sheet1!C93</f>
        <v>20</v>
      </c>
      <c r="D47" s="8" t="str">
        <f>Sheet1!D93</f>
        <v>Female</v>
      </c>
      <c r="E47" s="8" t="str">
        <f>Sheet1!E93</f>
        <v>Computer Science</v>
      </c>
      <c r="F47" s="8">
        <f>Sheet1!F93</f>
        <v>5</v>
      </c>
      <c r="G47" s="8" t="str">
        <f>Sheet1!G93</f>
        <v>Islamabad</v>
      </c>
      <c r="H47" s="8">
        <f>Sheet1!H93</f>
        <v>3.87</v>
      </c>
      <c r="I47" s="8">
        <f>Sheet1!I93</f>
        <v>0.94</v>
      </c>
    </row>
    <row r="48" spans="1:9" x14ac:dyDescent="0.35">
      <c r="A48" s="8" t="str">
        <f>Sheet1!A95</f>
        <v>S094</v>
      </c>
      <c r="B48" s="8" t="str">
        <f>Sheet1!B95</f>
        <v>Areeba Malik</v>
      </c>
      <c r="C48" s="8">
        <f>Sheet1!C95</f>
        <v>20</v>
      </c>
      <c r="D48" s="8" t="str">
        <f>Sheet1!D95</f>
        <v>Female</v>
      </c>
      <c r="E48" s="8" t="str">
        <f>Sheet1!E95</f>
        <v>Computer Science</v>
      </c>
      <c r="F48" s="8">
        <f>Sheet1!F95</f>
        <v>5</v>
      </c>
      <c r="G48" s="8" t="str">
        <f>Sheet1!G95</f>
        <v>Islamabad</v>
      </c>
      <c r="H48" s="8">
        <f>Sheet1!H95</f>
        <v>3.7800000000000002</v>
      </c>
      <c r="I48" s="8">
        <f>Sheet1!I95</f>
        <v>0.94</v>
      </c>
    </row>
    <row r="49" spans="1:9" x14ac:dyDescent="0.35">
      <c r="A49" s="8" t="str">
        <f>Sheet1!A96</f>
        <v>S095</v>
      </c>
      <c r="B49" s="8" t="str">
        <f>Sheet1!B96</f>
        <v>Dua Khan</v>
      </c>
      <c r="C49" s="8">
        <f>Sheet1!C96</f>
        <v>22</v>
      </c>
      <c r="D49" s="8" t="str">
        <f>Sheet1!D96</f>
        <v>Female</v>
      </c>
      <c r="E49" s="8" t="str">
        <f>Sheet1!E96</f>
        <v>Computer Science</v>
      </c>
      <c r="F49" s="8">
        <f>Sheet1!F96</f>
        <v>7</v>
      </c>
      <c r="G49" s="8" t="str">
        <f>Sheet1!G96</f>
        <v>Rawalpindi</v>
      </c>
      <c r="H49" s="8">
        <f>Sheet1!H96</f>
        <v>3.5600000000000005</v>
      </c>
      <c r="I49" s="8">
        <f>Sheet1!I96</f>
        <v>0.88</v>
      </c>
    </row>
    <row r="50" spans="1:9" x14ac:dyDescent="0.35">
      <c r="A50" s="8" t="str">
        <f>Sheet1!A98</f>
        <v>S097</v>
      </c>
      <c r="B50" s="8" t="str">
        <f>Sheet1!B98</f>
        <v>Komal Tariq</v>
      </c>
      <c r="C50" s="8">
        <f>Sheet1!C98</f>
        <v>20</v>
      </c>
      <c r="D50" s="8" t="str">
        <f>Sheet1!D98</f>
        <v>Female</v>
      </c>
      <c r="E50" s="8" t="str">
        <f>Sheet1!E98</f>
        <v>Computer Science</v>
      </c>
      <c r="F50" s="8">
        <f>Sheet1!F98</f>
        <v>5</v>
      </c>
      <c r="G50" s="8" t="str">
        <f>Sheet1!G98</f>
        <v>Multan</v>
      </c>
      <c r="H50" s="8">
        <f>Sheet1!H98</f>
        <v>4.0200000000000005</v>
      </c>
      <c r="I50" s="8">
        <f>Sheet1!I98</f>
        <v>0.97</v>
      </c>
    </row>
    <row r="51" spans="1:9" x14ac:dyDescent="0.35">
      <c r="A51" s="8" t="str">
        <f>Sheet1!A100</f>
        <v>S099</v>
      </c>
      <c r="B51" s="8" t="str">
        <f>Sheet1!B100</f>
        <v>Minal Noor</v>
      </c>
      <c r="C51" s="8">
        <f>Sheet1!C100</f>
        <v>21</v>
      </c>
      <c r="D51" s="8" t="str">
        <f>Sheet1!D100</f>
        <v>Female</v>
      </c>
      <c r="E51" s="8" t="str">
        <f>Sheet1!E100</f>
        <v>Computer Science</v>
      </c>
      <c r="F51" s="8">
        <f>Sheet1!F100</f>
        <v>6</v>
      </c>
      <c r="G51" s="8" t="str">
        <f>Sheet1!G100</f>
        <v>Lahore</v>
      </c>
      <c r="H51" s="8">
        <f>Sheet1!H100</f>
        <v>3.8100000000000005</v>
      </c>
      <c r="I51" s="8">
        <f>Sheet1!I100</f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HASSAN</dc:creator>
  <cp:lastModifiedBy>MUHAMMAD HASSAN</cp:lastModifiedBy>
  <dcterms:created xsi:type="dcterms:W3CDTF">2026-07-24T06:32:57Z</dcterms:created>
  <dcterms:modified xsi:type="dcterms:W3CDTF">2026-07-24T11:58:39Z</dcterms:modified>
</cp:coreProperties>
</file>