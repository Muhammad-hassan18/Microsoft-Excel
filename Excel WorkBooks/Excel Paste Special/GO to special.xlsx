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c16bd6028e6cb14/Documents/EXcel course/"/>
    </mc:Choice>
  </mc:AlternateContent>
  <xr:revisionPtr revIDLastSave="19" documentId="8_{1D240F05-1BE6-445F-95F3-692FC317BE9E}" xr6:coauthVersionLast="47" xr6:coauthVersionMax="47" xr10:uidLastSave="{CA123036-72BE-4891-8C64-9483A7CBE42B}"/>
  <bookViews>
    <workbookView xWindow="-110" yWindow="-110" windowWidth="19420" windowHeight="11020" xr2:uid="{9901CC75-9EDA-4315-B374-914180172C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97" i="1" l="1"/>
  <c r="I97" i="1"/>
  <c r="G94" i="1"/>
  <c r="I94" i="1"/>
  <c r="G91" i="1"/>
  <c r="I91" i="1"/>
  <c r="G68" i="1"/>
  <c r="I68" i="1"/>
  <c r="G61" i="1"/>
  <c r="I61" i="1"/>
  <c r="G54" i="1"/>
  <c r="I54" i="1"/>
  <c r="G47" i="1"/>
  <c r="I47" i="1"/>
  <c r="G44" i="1"/>
  <c r="I44" i="1"/>
  <c r="G41" i="1"/>
  <c r="I41" i="1"/>
  <c r="G39" i="1"/>
  <c r="I39" i="1"/>
  <c r="G36" i="1"/>
  <c r="I36" i="1"/>
  <c r="G32" i="1"/>
  <c r="I32" i="1"/>
  <c r="G30" i="1"/>
  <c r="I30" i="1"/>
  <c r="G25" i="1"/>
  <c r="I25" i="1"/>
  <c r="G23" i="1"/>
  <c r="I23" i="1"/>
  <c r="G17" i="1"/>
  <c r="I17" i="1"/>
  <c r="G13" i="1"/>
  <c r="I13" i="1"/>
  <c r="G10" i="1" a="1"/>
  <c r="G10" i="1" s="1"/>
  <c r="I10" i="1"/>
  <c r="G8" i="1"/>
  <c r="I8" i="1"/>
  <c r="G6" i="1"/>
  <c r="I6" i="1"/>
  <c r="I5" i="1"/>
  <c r="I7" i="1"/>
  <c r="I9" i="1"/>
  <c r="I11" i="1"/>
  <c r="I12" i="1"/>
  <c r="I14" i="1"/>
  <c r="I15" i="1"/>
  <c r="I16" i="1"/>
  <c r="I18" i="1"/>
  <c r="I19" i="1"/>
  <c r="I20" i="1"/>
  <c r="I21" i="1"/>
  <c r="I22" i="1"/>
  <c r="I24" i="1"/>
  <c r="I26" i="1"/>
  <c r="I27" i="1"/>
  <c r="I28" i="1"/>
  <c r="I29" i="1"/>
  <c r="I31" i="1"/>
  <c r="I33" i="1"/>
  <c r="I34" i="1"/>
  <c r="I35" i="1"/>
  <c r="I37" i="1"/>
  <c r="I38" i="1"/>
  <c r="I40" i="1"/>
  <c r="I42" i="1"/>
  <c r="I43" i="1"/>
  <c r="I45" i="1"/>
  <c r="I46" i="1"/>
  <c r="I48" i="1"/>
  <c r="I49" i="1"/>
  <c r="I50" i="1"/>
  <c r="I51" i="1"/>
  <c r="I52" i="1"/>
  <c r="I53" i="1"/>
  <c r="I55" i="1"/>
  <c r="I56" i="1"/>
  <c r="I57" i="1"/>
  <c r="I58" i="1"/>
  <c r="I59" i="1"/>
  <c r="I60" i="1"/>
  <c r="I62" i="1"/>
  <c r="I63" i="1"/>
  <c r="I64" i="1"/>
  <c r="I65" i="1"/>
  <c r="I66" i="1"/>
  <c r="I67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2" i="1"/>
  <c r="I93" i="1"/>
  <c r="I95" i="1"/>
  <c r="I96" i="1"/>
  <c r="I98" i="1"/>
  <c r="I99" i="1"/>
  <c r="I100" i="1"/>
  <c r="I101" i="1"/>
  <c r="I102" i="1"/>
  <c r="I103" i="1"/>
  <c r="I4" i="1"/>
  <c r="G102" i="1" a="1"/>
  <c r="G102" i="1" s="1"/>
  <c r="G60" i="1" a="1"/>
  <c r="G60" i="1" s="1"/>
  <c r="G56" i="1" a="1"/>
  <c r="G56" i="1" s="1"/>
  <c r="G42" i="1" a="1"/>
  <c r="G42" i="1" s="1"/>
  <c r="G26" i="1" a="1"/>
  <c r="G26" i="1" s="1"/>
  <c r="G103" i="1"/>
  <c r="G101" i="1"/>
  <c r="G100" i="1"/>
  <c r="G99" i="1"/>
  <c r="G98" i="1"/>
  <c r="G96" i="1"/>
  <c r="G95" i="1"/>
  <c r="G93" i="1"/>
  <c r="G92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7" i="1"/>
  <c r="G66" i="1"/>
  <c r="G65" i="1"/>
  <c r="G64" i="1"/>
  <c r="G63" i="1"/>
  <c r="G62" i="1"/>
  <c r="G59" i="1"/>
  <c r="G58" i="1"/>
  <c r="G57" i="1"/>
  <c r="G55" i="1"/>
  <c r="G53" i="1"/>
  <c r="G52" i="1"/>
  <c r="G51" i="1"/>
  <c r="G50" i="1"/>
  <c r="G49" i="1"/>
  <c r="G48" i="1"/>
  <c r="G46" i="1"/>
  <c r="G45" i="1"/>
  <c r="G43" i="1"/>
  <c r="G40" i="1"/>
  <c r="G38" i="1"/>
  <c r="G37" i="1"/>
  <c r="G35" i="1"/>
  <c r="G34" i="1"/>
  <c r="G33" i="1"/>
  <c r="G31" i="1"/>
  <c r="G29" i="1"/>
  <c r="G28" i="1"/>
  <c r="G27" i="1"/>
  <c r="G24" i="1"/>
  <c r="G22" i="1"/>
  <c r="G21" i="1"/>
  <c r="G20" i="1"/>
  <c r="G19" i="1"/>
  <c r="G18" i="1"/>
  <c r="G16" i="1"/>
  <c r="G15" i="1"/>
  <c r="G14" i="1"/>
  <c r="G12" i="1"/>
  <c r="G11" i="1"/>
  <c r="G9" i="1"/>
  <c r="G7" i="1"/>
  <c r="G5" i="1"/>
  <c r="G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<sst xmlns="http://schemas.openxmlformats.org/spreadsheetml/2006/main" count="517" uniqueCount="311">
  <si>
    <t xml:space="preserve">CONDITIONAL FORMATTING  TOP/BOTTOM RULES , DATA BARS,ICON SETS </t>
  </si>
  <si>
    <t>SALES REPORT</t>
  </si>
  <si>
    <t>Employee ID</t>
  </si>
  <si>
    <t>Date</t>
  </si>
  <si>
    <t>Name</t>
  </si>
  <si>
    <t>Department</t>
  </si>
  <si>
    <t>Region</t>
  </si>
  <si>
    <t>Sales</t>
  </si>
  <si>
    <t>Status</t>
  </si>
  <si>
    <t>Target</t>
  </si>
  <si>
    <t>E001</t>
  </si>
  <si>
    <t>2026-03-15</t>
  </si>
  <si>
    <t>Employee 1</t>
  </si>
  <si>
    <t>Finance</t>
  </si>
  <si>
    <t>West</t>
  </si>
  <si>
    <t>E002</t>
  </si>
  <si>
    <t>2026-01-31</t>
  </si>
  <si>
    <t>Employee 2</t>
  </si>
  <si>
    <t>IT</t>
  </si>
  <si>
    <t>South</t>
  </si>
  <si>
    <t>E003</t>
  </si>
  <si>
    <t>2026-06-15</t>
  </si>
  <si>
    <t>Employee 3</t>
  </si>
  <si>
    <t>HR</t>
  </si>
  <si>
    <t>Central</t>
  </si>
  <si>
    <t>E004</t>
  </si>
  <si>
    <t>2026-03-08</t>
  </si>
  <si>
    <t>Employee 4</t>
  </si>
  <si>
    <t>North</t>
  </si>
  <si>
    <t>E005</t>
  </si>
  <si>
    <t>2026-03-03</t>
  </si>
  <si>
    <t>Employee 5</t>
  </si>
  <si>
    <t>E006</t>
  </si>
  <si>
    <t>2026-02-25</t>
  </si>
  <si>
    <t>Employee 6</t>
  </si>
  <si>
    <t>E007</t>
  </si>
  <si>
    <t>2026-04-24</t>
  </si>
  <si>
    <t>Employee 7</t>
  </si>
  <si>
    <t>Operations</t>
  </si>
  <si>
    <t>E008</t>
  </si>
  <si>
    <t>2026-01-11</t>
  </si>
  <si>
    <t>Employee 8</t>
  </si>
  <si>
    <t>E009</t>
  </si>
  <si>
    <t>2026-06-17</t>
  </si>
  <si>
    <t>Employee 9</t>
  </si>
  <si>
    <t>Marketing</t>
  </si>
  <si>
    <t>East</t>
  </si>
  <si>
    <t>E010</t>
  </si>
  <si>
    <t>2026-02-18</t>
  </si>
  <si>
    <t>Employee 10</t>
  </si>
  <si>
    <t>E011</t>
  </si>
  <si>
    <t>2026-03-06</t>
  </si>
  <si>
    <t>Employee 11</t>
  </si>
  <si>
    <t>E012</t>
  </si>
  <si>
    <t>2026-03-16</t>
  </si>
  <si>
    <t>Employee 12</t>
  </si>
  <si>
    <t>E013</t>
  </si>
  <si>
    <t>2026-01-10</t>
  </si>
  <si>
    <t>Employee 13</t>
  </si>
  <si>
    <t>E014</t>
  </si>
  <si>
    <t>2026-05-21</t>
  </si>
  <si>
    <t>Employee 14</t>
  </si>
  <si>
    <t>E015</t>
  </si>
  <si>
    <t>2026-03-30</t>
  </si>
  <si>
    <t>Employee 15</t>
  </si>
  <si>
    <t>E016</t>
  </si>
  <si>
    <t>2026-01-14</t>
  </si>
  <si>
    <t>Employee 16</t>
  </si>
  <si>
    <t>E017</t>
  </si>
  <si>
    <t>2026-05-09</t>
  </si>
  <si>
    <t>Employee 17</t>
  </si>
  <si>
    <t>E018</t>
  </si>
  <si>
    <t>2026-04-26</t>
  </si>
  <si>
    <t>Employee 18</t>
  </si>
  <si>
    <t>E019</t>
  </si>
  <si>
    <t>2026-06-14</t>
  </si>
  <si>
    <t>Employee 19</t>
  </si>
  <si>
    <t>E020</t>
  </si>
  <si>
    <t>2026-04-29</t>
  </si>
  <si>
    <t>Employee 20</t>
  </si>
  <si>
    <t>E021</t>
  </si>
  <si>
    <t>2026-06-08</t>
  </si>
  <si>
    <t>Employee 21</t>
  </si>
  <si>
    <t>E022</t>
  </si>
  <si>
    <t>2026-04-22</t>
  </si>
  <si>
    <t>Employee 22</t>
  </si>
  <si>
    <t>E023</t>
  </si>
  <si>
    <t>Employee 23</t>
  </si>
  <si>
    <t>E024</t>
  </si>
  <si>
    <t>2026-05-01</t>
  </si>
  <si>
    <t>Employee 24</t>
  </si>
  <si>
    <t>E025</t>
  </si>
  <si>
    <t>2026-01-19</t>
  </si>
  <si>
    <t>Employee 25</t>
  </si>
  <si>
    <t>E026</t>
  </si>
  <si>
    <t>2026-02-09</t>
  </si>
  <si>
    <t>Employee 26</t>
  </si>
  <si>
    <t>E027</t>
  </si>
  <si>
    <t>2026-05-15</t>
  </si>
  <si>
    <t>Employee 27</t>
  </si>
  <si>
    <t>E028</t>
  </si>
  <si>
    <t>2026-06-27</t>
  </si>
  <si>
    <t>Employee 28</t>
  </si>
  <si>
    <t>E029</t>
  </si>
  <si>
    <t>2026-03-10</t>
  </si>
  <si>
    <t>Employee 29</t>
  </si>
  <si>
    <t>E030</t>
  </si>
  <si>
    <t>2026-05-14</t>
  </si>
  <si>
    <t>Employee 30</t>
  </si>
  <si>
    <t>E031</t>
  </si>
  <si>
    <t>2026-04-08</t>
  </si>
  <si>
    <t>Employee 31</t>
  </si>
  <si>
    <t>E032</t>
  </si>
  <si>
    <t>2026-06-29</t>
  </si>
  <si>
    <t>Employee 32</t>
  </si>
  <si>
    <t>E033</t>
  </si>
  <si>
    <t>2026-05-24</t>
  </si>
  <si>
    <t>Employee 33</t>
  </si>
  <si>
    <t>E034</t>
  </si>
  <si>
    <t>2026-01-04</t>
  </si>
  <si>
    <t>Employee 34</t>
  </si>
  <si>
    <t>E035</t>
  </si>
  <si>
    <t>Employee 35</t>
  </si>
  <si>
    <t>E036</t>
  </si>
  <si>
    <t>2026-04-23</t>
  </si>
  <si>
    <t>Employee 36</t>
  </si>
  <si>
    <t>E037</t>
  </si>
  <si>
    <t>2026-06-30</t>
  </si>
  <si>
    <t>Employee 37</t>
  </si>
  <si>
    <t>E038</t>
  </si>
  <si>
    <t>2026-02-02</t>
  </si>
  <si>
    <t>Employee 38</t>
  </si>
  <si>
    <t>E039</t>
  </si>
  <si>
    <t>Employee 39</t>
  </si>
  <si>
    <t>E040</t>
  </si>
  <si>
    <t>2026-04-15</t>
  </si>
  <si>
    <t>Employee 40</t>
  </si>
  <si>
    <t>E041</t>
  </si>
  <si>
    <t>2026-05-08</t>
  </si>
  <si>
    <t>Employee 41</t>
  </si>
  <si>
    <t>E042</t>
  </si>
  <si>
    <t>2026-05-06</t>
  </si>
  <si>
    <t>Employee 42</t>
  </si>
  <si>
    <t>E043</t>
  </si>
  <si>
    <t>2026-05-04</t>
  </si>
  <si>
    <t>Employee 43</t>
  </si>
  <si>
    <t>E044</t>
  </si>
  <si>
    <t>2026-05-27</t>
  </si>
  <si>
    <t>Employee 44</t>
  </si>
  <si>
    <t>E045</t>
  </si>
  <si>
    <t>2026-03-04</t>
  </si>
  <si>
    <t>Employee 45</t>
  </si>
  <si>
    <t>E046</t>
  </si>
  <si>
    <t>2026-03-21</t>
  </si>
  <si>
    <t>Employee 46</t>
  </si>
  <si>
    <t>E047</t>
  </si>
  <si>
    <t>2026-04-12</t>
  </si>
  <si>
    <t>Employee 47</t>
  </si>
  <si>
    <t>E048</t>
  </si>
  <si>
    <t>2026-05-30</t>
  </si>
  <si>
    <t>Employee 48</t>
  </si>
  <si>
    <t>E049</t>
  </si>
  <si>
    <t>2026-06-11</t>
  </si>
  <si>
    <t>Employee 49</t>
  </si>
  <si>
    <t>E050</t>
  </si>
  <si>
    <t>Employee 50</t>
  </si>
  <si>
    <t>E051</t>
  </si>
  <si>
    <t>2026-04-11</t>
  </si>
  <si>
    <t>Employee 51</t>
  </si>
  <si>
    <t>E052</t>
  </si>
  <si>
    <t>2026-01-30</t>
  </si>
  <si>
    <t>Employee 52</t>
  </si>
  <si>
    <t>E053</t>
  </si>
  <si>
    <t>2026-05-31</t>
  </si>
  <si>
    <t>Employee 53</t>
  </si>
  <si>
    <t>E054</t>
  </si>
  <si>
    <t>2026-05-26</t>
  </si>
  <si>
    <t>Employee 54</t>
  </si>
  <si>
    <t>E055</t>
  </si>
  <si>
    <t>2026-06-02</t>
  </si>
  <si>
    <t>Employee 55</t>
  </si>
  <si>
    <t>E056</t>
  </si>
  <si>
    <t>Employee 56</t>
  </si>
  <si>
    <t>E057</t>
  </si>
  <si>
    <t>2026-03-24</t>
  </si>
  <si>
    <t>Employee 57</t>
  </si>
  <si>
    <t>E058</t>
  </si>
  <si>
    <t>2026-02-23</t>
  </si>
  <si>
    <t>Employee 58</t>
  </si>
  <si>
    <t>E059</t>
  </si>
  <si>
    <t>2026-02-20</t>
  </si>
  <si>
    <t>Employee 59</t>
  </si>
  <si>
    <t>E060</t>
  </si>
  <si>
    <t>2026-04-18</t>
  </si>
  <si>
    <t>Employee 60</t>
  </si>
  <si>
    <t>E061</t>
  </si>
  <si>
    <t>2026-06-19</t>
  </si>
  <si>
    <t>Employee 61</t>
  </si>
  <si>
    <t>E062</t>
  </si>
  <si>
    <t>Employee 62</t>
  </si>
  <si>
    <t>E063</t>
  </si>
  <si>
    <t>2026-02-14</t>
  </si>
  <si>
    <t>Employee 63</t>
  </si>
  <si>
    <t>E064</t>
  </si>
  <si>
    <t>Employee 64</t>
  </si>
  <si>
    <t>E065</t>
  </si>
  <si>
    <t>2026-05-25</t>
  </si>
  <si>
    <t>Employee 65</t>
  </si>
  <si>
    <t>E066</t>
  </si>
  <si>
    <t>2026-03-26</t>
  </si>
  <si>
    <t>Employee 66</t>
  </si>
  <si>
    <t>E067</t>
  </si>
  <si>
    <t>2026-04-05</t>
  </si>
  <si>
    <t>Employee 67</t>
  </si>
  <si>
    <t>E068</t>
  </si>
  <si>
    <t>2026-04-28</t>
  </si>
  <si>
    <t>Employee 68</t>
  </si>
  <si>
    <t>E069</t>
  </si>
  <si>
    <t>2026-04-19</t>
  </si>
  <si>
    <t>Employee 69</t>
  </si>
  <si>
    <t>E070</t>
  </si>
  <si>
    <t>Employee 70</t>
  </si>
  <si>
    <t>E071</t>
  </si>
  <si>
    <t>Employee 71</t>
  </si>
  <si>
    <t>E072</t>
  </si>
  <si>
    <t>2026-05-02</t>
  </si>
  <si>
    <t>Employee 72</t>
  </si>
  <si>
    <t>E073</t>
  </si>
  <si>
    <t>2026-06-01</t>
  </si>
  <si>
    <t>Employee 73</t>
  </si>
  <si>
    <t>E074</t>
  </si>
  <si>
    <t>2026-06-28</t>
  </si>
  <si>
    <t>Employee 74</t>
  </si>
  <si>
    <t>E075</t>
  </si>
  <si>
    <t>Employee 75</t>
  </si>
  <si>
    <t>E076</t>
  </si>
  <si>
    <t>2026-04-25</t>
  </si>
  <si>
    <t>Employee 76</t>
  </si>
  <si>
    <t>E077</t>
  </si>
  <si>
    <t>2026-05-23</t>
  </si>
  <si>
    <t>Employee 77</t>
  </si>
  <si>
    <t>E078</t>
  </si>
  <si>
    <t>2026-05-29</t>
  </si>
  <si>
    <t>Employee 78</t>
  </si>
  <si>
    <t>E079</t>
  </si>
  <si>
    <t>2026-01-15</t>
  </si>
  <si>
    <t>Employee 79</t>
  </si>
  <si>
    <t>E080</t>
  </si>
  <si>
    <t>2026-06-04</t>
  </si>
  <si>
    <t>Employee 80</t>
  </si>
  <si>
    <t>E081</t>
  </si>
  <si>
    <t>2026-04-04</t>
  </si>
  <si>
    <t>Employee 81</t>
  </si>
  <si>
    <t>E082</t>
  </si>
  <si>
    <t>2026-01-03</t>
  </si>
  <si>
    <t>Employee 82</t>
  </si>
  <si>
    <t>E083</t>
  </si>
  <si>
    <t>2026-05-22</t>
  </si>
  <si>
    <t>Employee 83</t>
  </si>
  <si>
    <t>E084</t>
  </si>
  <si>
    <t>2026-04-14</t>
  </si>
  <si>
    <t>Employee 84</t>
  </si>
  <si>
    <t>E085</t>
  </si>
  <si>
    <t>2026-01-09</t>
  </si>
  <si>
    <t>Employee 85</t>
  </si>
  <si>
    <t>E086</t>
  </si>
  <si>
    <t>2026-04-07</t>
  </si>
  <si>
    <t>Employee 86</t>
  </si>
  <si>
    <t>E087</t>
  </si>
  <si>
    <t>2026-06-20</t>
  </si>
  <si>
    <t>Employee 87</t>
  </si>
  <si>
    <t>E088</t>
  </si>
  <si>
    <t>2026-06-06</t>
  </si>
  <si>
    <t>Employee 88</t>
  </si>
  <si>
    <t>E089</t>
  </si>
  <si>
    <t>2026-02-19</t>
  </si>
  <si>
    <t>Employee 89</t>
  </si>
  <si>
    <t>E090</t>
  </si>
  <si>
    <t>2026-05-05</t>
  </si>
  <si>
    <t>Employee 90</t>
  </si>
  <si>
    <t>E091</t>
  </si>
  <si>
    <t>Employee 91</t>
  </si>
  <si>
    <t>E092</t>
  </si>
  <si>
    <t>2026-03-29</t>
  </si>
  <si>
    <t>Employee 92</t>
  </si>
  <si>
    <t>E093</t>
  </si>
  <si>
    <t>2026-01-22</t>
  </si>
  <si>
    <t>Employee 93</t>
  </si>
  <si>
    <t>E094</t>
  </si>
  <si>
    <t>2026-02-05</t>
  </si>
  <si>
    <t>Employee 94</t>
  </si>
  <si>
    <t>E095</t>
  </si>
  <si>
    <t>Employee 95</t>
  </si>
  <si>
    <t>E096</t>
  </si>
  <si>
    <t>Employee 96</t>
  </si>
  <si>
    <t>E097</t>
  </si>
  <si>
    <t>Employee 97</t>
  </si>
  <si>
    <t>E098</t>
  </si>
  <si>
    <t>2026-05-03</t>
  </si>
  <si>
    <t>Employee 98</t>
  </si>
  <si>
    <t>E099</t>
  </si>
  <si>
    <t>Employee 99</t>
  </si>
  <si>
    <t>E100</t>
  </si>
  <si>
    <t>Employee 100</t>
  </si>
  <si>
    <t>Constant Numbers</t>
  </si>
  <si>
    <t>constant text</t>
  </si>
  <si>
    <t>Formula Text</t>
  </si>
  <si>
    <t>Formula TEXT error</t>
  </si>
  <si>
    <t>Logic</t>
  </si>
  <si>
    <t>Formula Logic</t>
  </si>
  <si>
    <t>OBJECTS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</si>
</sst>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/>
    </xf>
    <xf numFmtId="0" fontId="1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left" vertical="center"/>
    </xf>
    <xf numFmtId="0" fontId="0" fillId="4" borderId="0" xfId="0" applyFill="1" applyAlignment="1">
      <alignment horizontal="center" vertical="center"/>
    </xf>
    <xf numFmtId="0" fontId="0" fillId="5" borderId="0" xfId="0" applyFont="1" applyFill="1" applyAlignment="1">
      <alignment horizontal="center" vertical="center"/>
    </xf>
    <xf numFmtId="0" fontId="0" fillId="6" borderId="0" xfId="0" applyFill="1"/>
    <xf numFmtId="0" fontId="0" fillId="6" borderId="0" xfId="0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4" fillId="5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568158</xdr:colOff>
      <xdr:row>2</xdr:row>
      <xdr:rowOff>6684</xdr:rowOff>
    </xdr:from>
    <xdr:to>
      <xdr:col>17</xdr:col>
      <xdr:colOff>661737</xdr:colOff>
      <xdr:row>6</xdr:row>
      <xdr:rowOff>53474</xdr:rowOff>
    </xdr:to>
    <xdr:sp macro="" textlink="">
      <xdr:nvSpPr>
        <xdr:cNvPr id="2" name="Isosceles Triangle 1">
          <a:extLst>
            <a:ext uri="{FF2B5EF4-FFF2-40B4-BE49-F238E27FC236}">
              <a16:creationId xmlns:a16="http://schemas.microsoft.com/office/drawing/2014/main" id="{7B285DA3-8C4A-4271-938A-047E2C1DE99D}"/>
            </a:ext>
          </a:extLst>
        </xdr:cNvPr>
        <xdr:cNvSpPr/>
      </xdr:nvSpPr>
      <xdr:spPr>
        <a:xfrm>
          <a:off x="10333790" y="541421"/>
          <a:ext cx="1497263" cy="795421"/>
        </a:xfrm>
        <a:prstGeom prst="triangl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86895</xdr:colOff>
      <xdr:row>2</xdr:row>
      <xdr:rowOff>33421</xdr:rowOff>
    </xdr:from>
    <xdr:to>
      <xdr:col>20</xdr:col>
      <xdr:colOff>247316</xdr:colOff>
      <xdr:row>6</xdr:row>
      <xdr:rowOff>53474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8F174D17-C429-4026-9581-75EE81F53994}"/>
            </a:ext>
          </a:extLst>
        </xdr:cNvPr>
        <xdr:cNvSpPr/>
      </xdr:nvSpPr>
      <xdr:spPr>
        <a:xfrm>
          <a:off x="11984790" y="568158"/>
          <a:ext cx="1811421" cy="768684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98D22-E9E3-4F99-9BB3-B1C1E5EBAD41}">
  <dimension ref="A1:R103"/>
  <sheetViews>
    <sheetView tabSelected="1" zoomScale="85" zoomScaleNormal="70" workbookViewId="0">
      <selection activeCell="M8" sqref="M8:N8"/>
    </sheetView>
  </sheetViews>
  <sheetFormatPr defaultRowHeight="14.5" x14ac:dyDescent="0.35"/>
  <cols>
    <col min="1" max="1" width="11.26953125" bestFit="1" customWidth="1"/>
    <col min="2" max="2" width="10.08984375" bestFit="1" customWidth="1"/>
    <col min="3" max="3" width="12.453125" bestFit="1" customWidth="1"/>
    <col min="4" max="4" width="11.08984375" bestFit="1" customWidth="1"/>
    <col min="5" max="6" width="6.81640625" bestFit="1" customWidth="1"/>
    <col min="7" max="7" width="12.90625" bestFit="1" customWidth="1"/>
    <col min="8" max="8" width="7.453125" bestFit="1" customWidth="1"/>
    <col min="17" max="17" width="11.36328125" bestFit="1" customWidth="1"/>
    <col min="18" max="18" width="10.453125" bestFit="1" customWidth="1"/>
    <col min="19" max="19" width="12.54296875" bestFit="1" customWidth="1"/>
    <col min="20" max="20" width="11.08984375" bestFit="1" customWidth="1"/>
    <col min="21" max="21" width="6.81640625" bestFit="1" customWidth="1"/>
    <col min="22" max="22" width="7.1796875" bestFit="1" customWidth="1"/>
    <col min="23" max="23" width="12.90625" bestFit="1" customWidth="1"/>
    <col min="24" max="24" width="7.1796875" bestFit="1" customWidth="1"/>
    <col min="25" max="25" width="5.7265625" bestFit="1" customWidth="1"/>
  </cols>
  <sheetData>
    <row r="1" spans="1:18" ht="18.5" x14ac:dyDescent="0.35">
      <c r="A1" s="10" t="s">
        <v>0</v>
      </c>
      <c r="B1" s="10"/>
      <c r="C1" s="10"/>
      <c r="D1" s="10"/>
      <c r="E1" s="10"/>
      <c r="F1" s="10"/>
      <c r="G1" s="10"/>
      <c r="H1" s="10"/>
      <c r="I1" s="10"/>
      <c r="Q1" s="12" t="s">
        <v>310</v>
      </c>
      <c r="R1" s="12"/>
    </row>
    <row r="2" spans="1:18" ht="23.5" x14ac:dyDescent="0.35">
      <c r="A2" s="11" t="s">
        <v>1</v>
      </c>
      <c r="B2" s="11"/>
      <c r="C2" s="11"/>
      <c r="D2" s="11"/>
      <c r="E2" s="11"/>
      <c r="F2" s="11"/>
      <c r="G2" s="11"/>
      <c r="H2" s="11"/>
      <c r="I2" s="11"/>
    </row>
    <row r="3" spans="1:18" x14ac:dyDescent="0.3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308</v>
      </c>
    </row>
    <row r="4" spans="1:18" x14ac:dyDescent="0.35">
      <c r="A4" s="4" t="s">
        <v>10</v>
      </c>
      <c r="B4" s="4" t="s">
        <v>11</v>
      </c>
      <c r="C4" s="4" t="s">
        <v>12</v>
      </c>
      <c r="D4" s="5" t="s">
        <v>13</v>
      </c>
      <c r="E4" s="4" t="s">
        <v>14</v>
      </c>
      <c r="F4" s="1">
        <v>96508</v>
      </c>
      <c r="G4" s="6" t="str">
        <f t="shared" ref="G4:G67" si="0">IF(F4&gt;=H4,"Target achieve","NOT Achieve")</f>
        <v>Target achieve</v>
      </c>
      <c r="H4" s="1">
        <v>65500</v>
      </c>
      <c r="I4" s="8" t="b">
        <f>AND(H4&gt;70000)</f>
        <v>0</v>
      </c>
    </row>
    <row r="5" spans="1:18" x14ac:dyDescent="0.35">
      <c r="A5" s="4" t="s">
        <v>15</v>
      </c>
      <c r="B5" s="4" t="s">
        <v>16</v>
      </c>
      <c r="C5" s="4" t="s">
        <v>17</v>
      </c>
      <c r="D5" s="5" t="s">
        <v>18</v>
      </c>
      <c r="E5" s="4" t="s">
        <v>19</v>
      </c>
      <c r="F5" s="1">
        <v>97510</v>
      </c>
      <c r="G5" s="6" t="str">
        <f t="shared" si="0"/>
        <v>Target achieve</v>
      </c>
      <c r="H5" s="1">
        <v>52334</v>
      </c>
      <c r="I5" s="8" t="b">
        <f t="shared" ref="I5:I68" si="1">AND(H5&gt;70000)</f>
        <v>0</v>
      </c>
      <c r="M5" s="13" t="s">
        <v>304</v>
      </c>
      <c r="N5" s="13"/>
    </row>
    <row r="6" spans="1:18" x14ac:dyDescent="0.35">
      <c r="A6" s="4" t="s">
        <v>20</v>
      </c>
      <c r="B6" s="4" t="s">
        <v>21</v>
      </c>
      <c r="C6" s="4" t="s">
        <v>22</v>
      </c>
      <c r="D6" s="5" t="s">
        <v>23</v>
      </c>
      <c r="E6" s="4" t="s">
        <v>24</v>
      </c>
      <c r="F6" s="1">
        <v>83125</v>
      </c>
      <c r="G6" s="6" t="str">
        <f t="shared" si="0"/>
        <v>NOT Achieve</v>
      </c>
      <c r="H6" s="1">
        <v>128778</v>
      </c>
      <c r="I6" s="8" t="b">
        <f t="shared" si="1"/>
        <v>1</v>
      </c>
      <c r="M6" s="14" t="s">
        <v>305</v>
      </c>
      <c r="N6" s="14"/>
    </row>
    <row r="7" spans="1:18" x14ac:dyDescent="0.35">
      <c r="A7" s="4" t="s">
        <v>25</v>
      </c>
      <c r="B7" s="4" t="s">
        <v>26</v>
      </c>
      <c r="C7" s="4" t="s">
        <v>27</v>
      </c>
      <c r="D7" s="5" t="s">
        <v>13</v>
      </c>
      <c r="E7" s="4" t="s">
        <v>28</v>
      </c>
      <c r="F7" s="1">
        <v>51677</v>
      </c>
      <c r="G7" s="6" t="str">
        <f t="shared" si="0"/>
        <v>NOT Achieve</v>
      </c>
      <c r="H7" s="1">
        <v>130514</v>
      </c>
      <c r="I7" s="8" t="b">
        <f t="shared" si="1"/>
        <v>1</v>
      </c>
      <c r="M7" s="15" t="s">
        <v>306</v>
      </c>
      <c r="N7" s="15"/>
    </row>
    <row r="8" spans="1:18" x14ac:dyDescent="0.35">
      <c r="A8" s="4" t="s">
        <v>29</v>
      </c>
      <c r="B8" s="4" t="s">
        <v>30</v>
      </c>
      <c r="C8" s="4" t="s">
        <v>31</v>
      </c>
      <c r="D8" s="5" t="s">
        <v>18</v>
      </c>
      <c r="E8" s="4" t="s">
        <v>28</v>
      </c>
      <c r="F8" s="1">
        <v>32807</v>
      </c>
      <c r="G8" s="6" t="str">
        <f t="shared" si="0"/>
        <v>NOT Achieve</v>
      </c>
      <c r="H8" s="1">
        <v>132663</v>
      </c>
      <c r="I8" s="8" t="b">
        <f t="shared" si="1"/>
        <v>1</v>
      </c>
      <c r="M8" s="16" t="s">
        <v>307</v>
      </c>
      <c r="N8" s="16"/>
    </row>
    <row r="9" spans="1:18" x14ac:dyDescent="0.35">
      <c r="A9" s="4" t="s">
        <v>32</v>
      </c>
      <c r="B9" s="4" t="s">
        <v>33</v>
      </c>
      <c r="C9" s="4" t="s">
        <v>34</v>
      </c>
      <c r="D9" s="5" t="s">
        <v>23</v>
      </c>
      <c r="E9" s="4" t="s">
        <v>28</v>
      </c>
      <c r="F9" s="1">
        <v>71579</v>
      </c>
      <c r="G9" s="6" t="str">
        <f t="shared" si="0"/>
        <v>NOT Achieve</v>
      </c>
      <c r="H9" s="1">
        <v>145147</v>
      </c>
      <c r="I9" s="8" t="b">
        <f t="shared" si="1"/>
        <v>1</v>
      </c>
      <c r="L9" s="2"/>
      <c r="M9" s="9" t="s">
        <v>309</v>
      </c>
      <c r="N9" s="9"/>
    </row>
    <row r="10" spans="1:18" x14ac:dyDescent="0.35">
      <c r="A10" s="4" t="s">
        <v>35</v>
      </c>
      <c r="B10" s="4" t="s">
        <v>36</v>
      </c>
      <c r="C10" s="4" t="s">
        <v>37</v>
      </c>
      <c r="D10" s="5" t="s">
        <v>38</v>
      </c>
      <c r="E10" s="4" t="s">
        <v>14</v>
      </c>
      <c r="F10" s="1">
        <v>166754</v>
      </c>
      <c r="G10" s="7" t="e" cm="1">
        <f t="array" ref="G10">IF(F=H10,"Target achieve","NOT Achieve")</f>
        <v>#NAME?</v>
      </c>
      <c r="H10" s="1">
        <v>138079</v>
      </c>
      <c r="I10" s="8" t="b">
        <f t="shared" si="1"/>
        <v>1</v>
      </c>
    </row>
    <row r="11" spans="1:18" x14ac:dyDescent="0.35">
      <c r="A11" s="4" t="s">
        <v>39</v>
      </c>
      <c r="B11" s="4" t="s">
        <v>40</v>
      </c>
      <c r="C11" s="4" t="s">
        <v>41</v>
      </c>
      <c r="D11" s="5" t="s">
        <v>7</v>
      </c>
      <c r="E11" s="4" t="s">
        <v>28</v>
      </c>
      <c r="F11" s="1">
        <v>32956</v>
      </c>
      <c r="G11" s="6" t="str">
        <f t="shared" si="0"/>
        <v>NOT Achieve</v>
      </c>
      <c r="H11" s="1">
        <v>73943</v>
      </c>
      <c r="I11" s="8" t="b">
        <f t="shared" si="1"/>
        <v>1</v>
      </c>
    </row>
    <row r="12" spans="1:18" x14ac:dyDescent="0.35">
      <c r="A12" s="4" t="s">
        <v>42</v>
      </c>
      <c r="B12" s="4" t="s">
        <v>43</v>
      </c>
      <c r="C12" s="4" t="s">
        <v>44</v>
      </c>
      <c r="D12" s="5" t="s">
        <v>45</v>
      </c>
      <c r="E12" s="4" t="s">
        <v>46</v>
      </c>
      <c r="F12" s="1">
        <v>105633</v>
      </c>
      <c r="G12" s="6" t="str">
        <f t="shared" si="0"/>
        <v>Target achieve</v>
      </c>
      <c r="H12" s="1">
        <v>70818</v>
      </c>
      <c r="I12" s="8" t="b">
        <f t="shared" si="1"/>
        <v>1</v>
      </c>
    </row>
    <row r="13" spans="1:18" x14ac:dyDescent="0.35">
      <c r="A13" s="4" t="s">
        <v>47</v>
      </c>
      <c r="B13" s="4" t="s">
        <v>48</v>
      </c>
      <c r="C13" s="4" t="s">
        <v>49</v>
      </c>
      <c r="D13" s="5" t="s">
        <v>13</v>
      </c>
      <c r="E13" s="4" t="s">
        <v>46</v>
      </c>
      <c r="F13" s="1">
        <v>51399</v>
      </c>
      <c r="G13" s="6" t="str">
        <f t="shared" si="0"/>
        <v>NOT Achieve</v>
      </c>
      <c r="H13" s="1">
        <v>67806</v>
      </c>
      <c r="I13" s="8" t="b">
        <f t="shared" si="1"/>
        <v>0</v>
      </c>
    </row>
    <row r="14" spans="1:18" x14ac:dyDescent="0.35">
      <c r="A14" s="4" t="s">
        <v>50</v>
      </c>
      <c r="B14" s="4" t="s">
        <v>51</v>
      </c>
      <c r="C14" s="4" t="s">
        <v>52</v>
      </c>
      <c r="D14" s="5" t="s">
        <v>45</v>
      </c>
      <c r="E14" s="4" t="s">
        <v>28</v>
      </c>
      <c r="F14" s="1">
        <v>10000</v>
      </c>
      <c r="G14" s="6" t="str">
        <f t="shared" si="0"/>
        <v>NOT Achieve</v>
      </c>
      <c r="H14" s="1">
        <v>127275</v>
      </c>
      <c r="I14" s="8" t="b">
        <f t="shared" si="1"/>
        <v>1</v>
      </c>
    </row>
    <row r="15" spans="1:18" x14ac:dyDescent="0.35">
      <c r="A15" s="4" t="s">
        <v>53</v>
      </c>
      <c r="B15" s="4" t="s">
        <v>54</v>
      </c>
      <c r="C15" s="4" t="s">
        <v>55</v>
      </c>
      <c r="D15" s="5" t="s">
        <v>18</v>
      </c>
      <c r="E15" s="4" t="s">
        <v>24</v>
      </c>
      <c r="F15" s="1">
        <v>153712</v>
      </c>
      <c r="G15" s="6" t="str">
        <f t="shared" si="0"/>
        <v>Target achieve</v>
      </c>
      <c r="H15" s="1">
        <v>54428</v>
      </c>
      <c r="I15" s="8" t="b">
        <f t="shared" si="1"/>
        <v>0</v>
      </c>
    </row>
    <row r="16" spans="1:18" x14ac:dyDescent="0.35">
      <c r="A16" s="4" t="s">
        <v>56</v>
      </c>
      <c r="B16" s="4" t="s">
        <v>57</v>
      </c>
      <c r="C16" s="4" t="s">
        <v>58</v>
      </c>
      <c r="D16" s="5" t="s">
        <v>23</v>
      </c>
      <c r="E16" s="4" t="s">
        <v>24</v>
      </c>
      <c r="F16" s="1">
        <v>54386</v>
      </c>
      <c r="G16" s="6" t="str">
        <f t="shared" si="0"/>
        <v>NOT Achieve</v>
      </c>
      <c r="H16" s="1">
        <v>128221</v>
      </c>
      <c r="I16" s="8" t="b">
        <f t="shared" si="1"/>
        <v>1</v>
      </c>
    </row>
    <row r="17" spans="1:9" x14ac:dyDescent="0.35">
      <c r="A17" s="4" t="s">
        <v>59</v>
      </c>
      <c r="B17" s="4" t="s">
        <v>60</v>
      </c>
      <c r="C17" s="4" t="s">
        <v>61</v>
      </c>
      <c r="D17" s="5" t="s">
        <v>7</v>
      </c>
      <c r="E17" s="4" t="s">
        <v>19</v>
      </c>
      <c r="F17" s="1">
        <v>150213</v>
      </c>
      <c r="G17" s="6" t="str">
        <f t="shared" si="0"/>
        <v>Target achieve</v>
      </c>
      <c r="H17" s="1">
        <v>55371</v>
      </c>
      <c r="I17" s="8" t="b">
        <f t="shared" si="1"/>
        <v>0</v>
      </c>
    </row>
    <row r="18" spans="1:9" x14ac:dyDescent="0.35">
      <c r="A18" s="4" t="s">
        <v>62</v>
      </c>
      <c r="B18" s="4" t="s">
        <v>63</v>
      </c>
      <c r="C18" s="4" t="s">
        <v>64</v>
      </c>
      <c r="D18" s="5" t="s">
        <v>38</v>
      </c>
      <c r="E18" s="4" t="s">
        <v>19</v>
      </c>
      <c r="F18" s="1">
        <v>63449</v>
      </c>
      <c r="G18" s="6" t="str">
        <f t="shared" si="0"/>
        <v>NOT Achieve</v>
      </c>
      <c r="H18" s="1">
        <v>139815</v>
      </c>
      <c r="I18" s="8" t="b">
        <f t="shared" si="1"/>
        <v>1</v>
      </c>
    </row>
    <row r="19" spans="1:9" x14ac:dyDescent="0.35">
      <c r="A19" s="4" t="s">
        <v>65</v>
      </c>
      <c r="B19" s="4" t="s">
        <v>66</v>
      </c>
      <c r="C19" s="4" t="s">
        <v>67</v>
      </c>
      <c r="D19" s="5" t="s">
        <v>18</v>
      </c>
      <c r="E19" s="4" t="s">
        <v>19</v>
      </c>
      <c r="F19" s="1">
        <v>124556</v>
      </c>
      <c r="G19" s="6" t="str">
        <f t="shared" si="0"/>
        <v>Target achieve</v>
      </c>
      <c r="H19" s="1">
        <v>75946</v>
      </c>
      <c r="I19" s="8" t="b">
        <f t="shared" si="1"/>
        <v>1</v>
      </c>
    </row>
    <row r="20" spans="1:9" x14ac:dyDescent="0.35">
      <c r="A20" s="4" t="s">
        <v>68</v>
      </c>
      <c r="B20" s="4" t="s">
        <v>69</v>
      </c>
      <c r="C20" s="4" t="s">
        <v>70</v>
      </c>
      <c r="D20" s="5" t="s">
        <v>38</v>
      </c>
      <c r="E20" s="4" t="s">
        <v>28</v>
      </c>
      <c r="F20" s="1">
        <v>150599</v>
      </c>
      <c r="G20" s="6" t="str">
        <f t="shared" si="0"/>
        <v>Target achieve</v>
      </c>
      <c r="H20" s="1">
        <v>56065</v>
      </c>
      <c r="I20" s="8" t="b">
        <f t="shared" si="1"/>
        <v>0</v>
      </c>
    </row>
    <row r="21" spans="1:9" x14ac:dyDescent="0.35">
      <c r="A21" s="4" t="s">
        <v>71</v>
      </c>
      <c r="B21" s="4" t="s">
        <v>72</v>
      </c>
      <c r="C21" s="4" t="s">
        <v>73</v>
      </c>
      <c r="D21" s="5" t="s">
        <v>23</v>
      </c>
      <c r="E21" s="4" t="s">
        <v>19</v>
      </c>
      <c r="F21" s="1">
        <v>63903</v>
      </c>
      <c r="G21" s="6" t="str">
        <f t="shared" si="0"/>
        <v>NOT Achieve</v>
      </c>
      <c r="H21" s="1">
        <v>81862</v>
      </c>
      <c r="I21" s="8" t="b">
        <f t="shared" si="1"/>
        <v>1</v>
      </c>
    </row>
    <row r="22" spans="1:9" x14ac:dyDescent="0.35">
      <c r="A22" s="4" t="s">
        <v>74</v>
      </c>
      <c r="B22" s="4" t="s">
        <v>75</v>
      </c>
      <c r="C22" s="4" t="s">
        <v>76</v>
      </c>
      <c r="D22" s="5" t="s">
        <v>13</v>
      </c>
      <c r="E22" s="4" t="s">
        <v>14</v>
      </c>
      <c r="F22" s="1">
        <v>116633</v>
      </c>
      <c r="G22" s="6" t="str">
        <f t="shared" si="0"/>
        <v>Target achieve</v>
      </c>
      <c r="H22" s="1">
        <v>87849</v>
      </c>
      <c r="I22" s="8" t="b">
        <f t="shared" si="1"/>
        <v>1</v>
      </c>
    </row>
    <row r="23" spans="1:9" x14ac:dyDescent="0.35">
      <c r="A23" s="4" t="s">
        <v>77</v>
      </c>
      <c r="B23" s="4" t="s">
        <v>78</v>
      </c>
      <c r="C23" s="4" t="s">
        <v>79</v>
      </c>
      <c r="D23" s="5" t="s">
        <v>18</v>
      </c>
      <c r="E23" s="4" t="s">
        <v>46</v>
      </c>
      <c r="F23" s="1">
        <v>165062</v>
      </c>
      <c r="G23" s="6" t="str">
        <f t="shared" si="0"/>
        <v>Target achieve</v>
      </c>
      <c r="H23" s="1">
        <v>139639</v>
      </c>
      <c r="I23" s="8" t="b">
        <f t="shared" si="1"/>
        <v>1</v>
      </c>
    </row>
    <row r="24" spans="1:9" x14ac:dyDescent="0.35">
      <c r="A24" s="4" t="s">
        <v>80</v>
      </c>
      <c r="B24" s="4" t="s">
        <v>81</v>
      </c>
      <c r="C24" s="4" t="s">
        <v>82</v>
      </c>
      <c r="D24" s="5" t="s">
        <v>13</v>
      </c>
      <c r="E24" s="4" t="s">
        <v>24</v>
      </c>
      <c r="F24" s="1">
        <v>125334</v>
      </c>
      <c r="G24" s="6" t="str">
        <f t="shared" si="0"/>
        <v>Target achieve</v>
      </c>
      <c r="H24" s="1">
        <v>86914</v>
      </c>
      <c r="I24" s="8" t="b">
        <f t="shared" si="1"/>
        <v>1</v>
      </c>
    </row>
    <row r="25" spans="1:9" x14ac:dyDescent="0.35">
      <c r="A25" s="4" t="s">
        <v>83</v>
      </c>
      <c r="B25" s="4" t="s">
        <v>84</v>
      </c>
      <c r="C25" s="4" t="s">
        <v>85</v>
      </c>
      <c r="D25" s="5" t="s">
        <v>45</v>
      </c>
      <c r="E25" s="4" t="s">
        <v>28</v>
      </c>
      <c r="F25" s="1">
        <v>53391</v>
      </c>
      <c r="G25" s="6" t="str">
        <f>IF(F25&gt;=H25,"Target achieve","NOT Achieve")</f>
        <v>NOT Achieve</v>
      </c>
      <c r="H25" s="1">
        <v>107886</v>
      </c>
      <c r="I25" s="8" t="b">
        <f t="shared" si="1"/>
        <v>1</v>
      </c>
    </row>
    <row r="26" spans="1:9" x14ac:dyDescent="0.35">
      <c r="A26" s="4" t="s">
        <v>86</v>
      </c>
      <c r="B26" s="4" t="s">
        <v>69</v>
      </c>
      <c r="C26" s="4" t="s">
        <v>87</v>
      </c>
      <c r="D26" s="5" t="s">
        <v>13</v>
      </c>
      <c r="E26" s="4" t="s">
        <v>19</v>
      </c>
      <c r="F26" s="1">
        <v>103328</v>
      </c>
      <c r="G26" s="7" t="e" cm="1">
        <f t="array" aca="1" ref="G26" ca="1">I(F26&gt;=H26,"Target achieve","NOT Achieve")</f>
        <v>#NAME?</v>
      </c>
      <c r="H26" s="1">
        <v>125800</v>
      </c>
      <c r="I26" s="8" t="b">
        <f t="shared" si="1"/>
        <v>1</v>
      </c>
    </row>
    <row r="27" spans="1:9" x14ac:dyDescent="0.35">
      <c r="A27" s="4" t="s">
        <v>88</v>
      </c>
      <c r="B27" s="4" t="s">
        <v>89</v>
      </c>
      <c r="C27" s="4" t="s">
        <v>90</v>
      </c>
      <c r="D27" s="5" t="s">
        <v>23</v>
      </c>
      <c r="E27" s="4" t="s">
        <v>46</v>
      </c>
      <c r="F27" s="1">
        <v>103973</v>
      </c>
      <c r="G27" s="6" t="str">
        <f t="shared" si="0"/>
        <v>NOT Achieve</v>
      </c>
      <c r="H27" s="1">
        <v>105316</v>
      </c>
      <c r="I27" s="8" t="b">
        <f t="shared" si="1"/>
        <v>1</v>
      </c>
    </row>
    <row r="28" spans="1:9" x14ac:dyDescent="0.35">
      <c r="A28" s="4" t="s">
        <v>91</v>
      </c>
      <c r="B28" s="4" t="s">
        <v>92</v>
      </c>
      <c r="C28" s="4" t="s">
        <v>93</v>
      </c>
      <c r="D28" s="5" t="s">
        <v>38</v>
      </c>
      <c r="E28" s="4" t="s">
        <v>24</v>
      </c>
      <c r="F28" s="1">
        <v>122364</v>
      </c>
      <c r="G28" s="6" t="str">
        <f t="shared" si="0"/>
        <v>NOT Achieve</v>
      </c>
      <c r="H28" s="1">
        <v>148344</v>
      </c>
      <c r="I28" s="8" t="b">
        <f t="shared" si="1"/>
        <v>1</v>
      </c>
    </row>
    <row r="29" spans="1:9" x14ac:dyDescent="0.35">
      <c r="A29" s="4" t="s">
        <v>94</v>
      </c>
      <c r="B29" s="4" t="s">
        <v>95</v>
      </c>
      <c r="C29" s="4" t="s">
        <v>96</v>
      </c>
      <c r="D29" s="5" t="s">
        <v>18</v>
      </c>
      <c r="E29" s="4" t="s">
        <v>46</v>
      </c>
      <c r="F29" s="1">
        <v>121839</v>
      </c>
      <c r="G29" s="6" t="str">
        <f t="shared" si="0"/>
        <v>Target achieve</v>
      </c>
      <c r="H29" s="1">
        <v>50103</v>
      </c>
      <c r="I29" s="8" t="b">
        <f t="shared" si="1"/>
        <v>0</v>
      </c>
    </row>
    <row r="30" spans="1:9" x14ac:dyDescent="0.35">
      <c r="A30" s="4" t="s">
        <v>97</v>
      </c>
      <c r="B30" s="4" t="s">
        <v>98</v>
      </c>
      <c r="C30" s="4" t="s">
        <v>99</v>
      </c>
      <c r="D30" s="5" t="s">
        <v>38</v>
      </c>
      <c r="E30" s="4" t="s">
        <v>28</v>
      </c>
      <c r="F30" s="1">
        <v>106421</v>
      </c>
      <c r="G30" s="6" t="str">
        <f t="shared" si="0"/>
        <v>Target achieve</v>
      </c>
      <c r="H30" s="1">
        <v>53325</v>
      </c>
      <c r="I30" s="8" t="b">
        <f t="shared" si="1"/>
        <v>0</v>
      </c>
    </row>
    <row r="31" spans="1:9" x14ac:dyDescent="0.35">
      <c r="A31" s="4" t="s">
        <v>100</v>
      </c>
      <c r="B31" s="4" t="s">
        <v>101</v>
      </c>
      <c r="C31" s="4" t="s">
        <v>102</v>
      </c>
      <c r="D31" s="5" t="s">
        <v>7</v>
      </c>
      <c r="E31" s="4" t="s">
        <v>24</v>
      </c>
      <c r="F31" s="1">
        <v>82952</v>
      </c>
      <c r="G31" s="6" t="str">
        <f t="shared" si="0"/>
        <v>NOT Achieve</v>
      </c>
      <c r="H31" s="1">
        <v>109853</v>
      </c>
      <c r="I31" s="8" t="b">
        <f t="shared" si="1"/>
        <v>1</v>
      </c>
    </row>
    <row r="32" spans="1:9" x14ac:dyDescent="0.35">
      <c r="A32" s="4" t="s">
        <v>103</v>
      </c>
      <c r="B32" s="4" t="s">
        <v>104</v>
      </c>
      <c r="C32" s="4" t="s">
        <v>105</v>
      </c>
      <c r="D32" s="5" t="s">
        <v>7</v>
      </c>
      <c r="E32" s="4" t="s">
        <v>46</v>
      </c>
      <c r="F32" s="1">
        <v>83675</v>
      </c>
      <c r="G32" s="6" t="str">
        <f t="shared" si="0"/>
        <v>NOT Achieve</v>
      </c>
      <c r="H32" s="1">
        <v>116851</v>
      </c>
      <c r="I32" s="8" t="b">
        <f t="shared" si="1"/>
        <v>1</v>
      </c>
    </row>
    <row r="33" spans="1:9" x14ac:dyDescent="0.35">
      <c r="A33" s="4" t="s">
        <v>106</v>
      </c>
      <c r="B33" s="4" t="s">
        <v>107</v>
      </c>
      <c r="C33" s="4" t="s">
        <v>108</v>
      </c>
      <c r="D33" s="5" t="s">
        <v>23</v>
      </c>
      <c r="E33" s="4" t="s">
        <v>28</v>
      </c>
      <c r="F33" s="1">
        <v>49816</v>
      </c>
      <c r="G33" s="6" t="str">
        <f t="shared" si="0"/>
        <v>NOT Achieve</v>
      </c>
      <c r="H33" s="1">
        <v>58793</v>
      </c>
      <c r="I33" s="8" t="b">
        <f t="shared" si="1"/>
        <v>0</v>
      </c>
    </row>
    <row r="34" spans="1:9" x14ac:dyDescent="0.35">
      <c r="A34" s="4" t="s">
        <v>109</v>
      </c>
      <c r="B34" s="4" t="s">
        <v>110</v>
      </c>
      <c r="C34" s="4" t="s">
        <v>111</v>
      </c>
      <c r="D34" s="5" t="s">
        <v>45</v>
      </c>
      <c r="E34" s="4" t="s">
        <v>24</v>
      </c>
      <c r="F34" s="1">
        <v>156009</v>
      </c>
      <c r="G34" s="6" t="str">
        <f t="shared" si="0"/>
        <v>Target achieve</v>
      </c>
      <c r="H34" s="1">
        <v>107773</v>
      </c>
      <c r="I34" s="8" t="b">
        <f t="shared" si="1"/>
        <v>1</v>
      </c>
    </row>
    <row r="35" spans="1:9" x14ac:dyDescent="0.35">
      <c r="A35" s="4" t="s">
        <v>112</v>
      </c>
      <c r="B35" s="4" t="s">
        <v>113</v>
      </c>
      <c r="C35" s="4" t="s">
        <v>114</v>
      </c>
      <c r="D35" s="5" t="s">
        <v>38</v>
      </c>
      <c r="E35" s="4" t="s">
        <v>14</v>
      </c>
      <c r="F35" s="1">
        <v>155051</v>
      </c>
      <c r="G35" s="6" t="str">
        <f t="shared" si="0"/>
        <v>Target achieve</v>
      </c>
      <c r="H35" s="1">
        <v>138284</v>
      </c>
      <c r="I35" s="8" t="b">
        <f t="shared" si="1"/>
        <v>1</v>
      </c>
    </row>
    <row r="36" spans="1:9" x14ac:dyDescent="0.35">
      <c r="A36" s="4" t="s">
        <v>115</v>
      </c>
      <c r="B36" s="4" t="s">
        <v>116</v>
      </c>
      <c r="C36" s="4" t="s">
        <v>117</v>
      </c>
      <c r="D36" s="5" t="s">
        <v>7</v>
      </c>
      <c r="E36" s="4" t="s">
        <v>14</v>
      </c>
      <c r="F36" s="1">
        <v>64000</v>
      </c>
      <c r="G36" s="6" t="str">
        <f t="shared" si="0"/>
        <v>NOT Achieve</v>
      </c>
      <c r="H36" s="1">
        <v>115845</v>
      </c>
      <c r="I36" s="8" t="b">
        <f t="shared" si="1"/>
        <v>1</v>
      </c>
    </row>
    <row r="37" spans="1:9" x14ac:dyDescent="0.35">
      <c r="A37" s="4" t="s">
        <v>118</v>
      </c>
      <c r="B37" s="4" t="s">
        <v>119</v>
      </c>
      <c r="C37" s="4" t="s">
        <v>120</v>
      </c>
      <c r="D37" s="5" t="s">
        <v>23</v>
      </c>
      <c r="E37" s="4" t="s">
        <v>24</v>
      </c>
      <c r="F37" s="1">
        <v>167607</v>
      </c>
      <c r="G37" s="6" t="str">
        <f t="shared" si="0"/>
        <v>Target achieve</v>
      </c>
      <c r="H37" s="1">
        <v>120321</v>
      </c>
      <c r="I37" s="8" t="b">
        <f t="shared" si="1"/>
        <v>1</v>
      </c>
    </row>
    <row r="38" spans="1:9" x14ac:dyDescent="0.35">
      <c r="A38" s="4" t="s">
        <v>121</v>
      </c>
      <c r="B38" s="4" t="s">
        <v>60</v>
      </c>
      <c r="C38" s="4" t="s">
        <v>122</v>
      </c>
      <c r="D38" s="5" t="s">
        <v>38</v>
      </c>
      <c r="E38" s="4" t="s">
        <v>28</v>
      </c>
      <c r="F38" s="1">
        <v>115262</v>
      </c>
      <c r="G38" s="6" t="str">
        <f t="shared" si="0"/>
        <v>Target achieve</v>
      </c>
      <c r="H38" s="1">
        <v>96485</v>
      </c>
      <c r="I38" s="8" t="b">
        <f t="shared" si="1"/>
        <v>1</v>
      </c>
    </row>
    <row r="39" spans="1:9" x14ac:dyDescent="0.35">
      <c r="A39" s="4" t="s">
        <v>123</v>
      </c>
      <c r="B39" s="4" t="s">
        <v>124</v>
      </c>
      <c r="C39" s="4" t="s">
        <v>125</v>
      </c>
      <c r="D39" s="5" t="s">
        <v>23</v>
      </c>
      <c r="E39" s="4" t="s">
        <v>28</v>
      </c>
      <c r="F39" s="1">
        <v>152986</v>
      </c>
      <c r="G39" s="6" t="str">
        <f t="shared" si="0"/>
        <v>Target achieve</v>
      </c>
      <c r="H39" s="1">
        <v>115296</v>
      </c>
      <c r="I39" s="8" t="b">
        <f t="shared" si="1"/>
        <v>1</v>
      </c>
    </row>
    <row r="40" spans="1:9" x14ac:dyDescent="0.35">
      <c r="A40" s="4" t="s">
        <v>126</v>
      </c>
      <c r="B40" s="4" t="s">
        <v>127</v>
      </c>
      <c r="C40" s="4" t="s">
        <v>128</v>
      </c>
      <c r="D40" s="5" t="s">
        <v>13</v>
      </c>
      <c r="E40" s="4" t="s">
        <v>14</v>
      </c>
      <c r="F40" s="1">
        <v>157395</v>
      </c>
      <c r="G40" s="6" t="str">
        <f t="shared" si="0"/>
        <v>Target achieve</v>
      </c>
      <c r="H40" s="1">
        <v>68019</v>
      </c>
      <c r="I40" s="8" t="b">
        <f t="shared" si="1"/>
        <v>0</v>
      </c>
    </row>
    <row r="41" spans="1:9" x14ac:dyDescent="0.35">
      <c r="A41" s="4" t="s">
        <v>129</v>
      </c>
      <c r="B41" s="4" t="s">
        <v>130</v>
      </c>
      <c r="C41" s="4" t="s">
        <v>131</v>
      </c>
      <c r="D41" s="5" t="s">
        <v>13</v>
      </c>
      <c r="E41" s="4" t="s">
        <v>19</v>
      </c>
      <c r="F41" s="1">
        <v>10000</v>
      </c>
      <c r="G41" s="6" t="str">
        <f t="shared" si="0"/>
        <v>NOT Achieve</v>
      </c>
      <c r="H41" s="1">
        <v>138434</v>
      </c>
      <c r="I41" s="8" t="b">
        <f t="shared" si="1"/>
        <v>1</v>
      </c>
    </row>
    <row r="42" spans="1:9" x14ac:dyDescent="0.35">
      <c r="A42" s="4" t="s">
        <v>132</v>
      </c>
      <c r="B42" s="4" t="s">
        <v>33</v>
      </c>
      <c r="C42" s="4" t="s">
        <v>133</v>
      </c>
      <c r="D42" s="5" t="s">
        <v>13</v>
      </c>
      <c r="E42" s="4" t="s">
        <v>24</v>
      </c>
      <c r="F42" s="1">
        <v>155444</v>
      </c>
      <c r="G42" s="7" t="e" cm="1">
        <f t="array" aca="1" ref="G42" ca="1">I(F42&gt;=H42,"Target achieve","NOT Achieve")</f>
        <v>#NAME?</v>
      </c>
      <c r="H42" s="1">
        <v>82337</v>
      </c>
      <c r="I42" s="8" t="b">
        <f t="shared" si="1"/>
        <v>1</v>
      </c>
    </row>
    <row r="43" spans="1:9" x14ac:dyDescent="0.35">
      <c r="A43" s="4" t="s">
        <v>134</v>
      </c>
      <c r="B43" s="4" t="s">
        <v>135</v>
      </c>
      <c r="C43" s="4" t="s">
        <v>136</v>
      </c>
      <c r="D43" s="5" t="s">
        <v>13</v>
      </c>
      <c r="E43" s="4" t="s">
        <v>14</v>
      </c>
      <c r="F43" s="1">
        <v>49356</v>
      </c>
      <c r="G43" s="6" t="str">
        <f t="shared" si="0"/>
        <v>NOT Achieve</v>
      </c>
      <c r="H43" s="1">
        <v>57518</v>
      </c>
      <c r="I43" s="8" t="b">
        <f t="shared" si="1"/>
        <v>0</v>
      </c>
    </row>
    <row r="44" spans="1:9" x14ac:dyDescent="0.35">
      <c r="A44" s="4" t="s">
        <v>137</v>
      </c>
      <c r="B44" s="4" t="s">
        <v>138</v>
      </c>
      <c r="C44" s="4" t="s">
        <v>139</v>
      </c>
      <c r="D44" s="5" t="s">
        <v>38</v>
      </c>
      <c r="E44" s="4" t="s">
        <v>14</v>
      </c>
      <c r="F44" s="1">
        <v>117529</v>
      </c>
      <c r="G44" s="6" t="str">
        <f t="shared" si="0"/>
        <v>Target achieve</v>
      </c>
      <c r="H44" s="1">
        <v>59812</v>
      </c>
      <c r="I44" s="8" t="b">
        <f t="shared" si="1"/>
        <v>0</v>
      </c>
    </row>
    <row r="45" spans="1:9" x14ac:dyDescent="0.35">
      <c r="A45" s="4" t="s">
        <v>140</v>
      </c>
      <c r="B45" s="4" t="s">
        <v>141</v>
      </c>
      <c r="C45" s="4" t="s">
        <v>142</v>
      </c>
      <c r="D45" s="5" t="s">
        <v>38</v>
      </c>
      <c r="E45" s="4" t="s">
        <v>24</v>
      </c>
      <c r="F45" s="1">
        <v>145335</v>
      </c>
      <c r="G45" s="6" t="str">
        <f t="shared" si="0"/>
        <v>Target achieve</v>
      </c>
      <c r="H45" s="1">
        <v>70088</v>
      </c>
      <c r="I45" s="8" t="b">
        <f t="shared" si="1"/>
        <v>1</v>
      </c>
    </row>
    <row r="46" spans="1:9" x14ac:dyDescent="0.35">
      <c r="A46" s="4" t="s">
        <v>143</v>
      </c>
      <c r="B46" s="4" t="s">
        <v>144</v>
      </c>
      <c r="C46" s="4" t="s">
        <v>145</v>
      </c>
      <c r="D46" s="5" t="s">
        <v>45</v>
      </c>
      <c r="E46" s="4" t="s">
        <v>46</v>
      </c>
      <c r="F46" s="1">
        <v>87639</v>
      </c>
      <c r="G46" s="6" t="str">
        <f t="shared" si="0"/>
        <v>NOT Achieve</v>
      </c>
      <c r="H46" s="1">
        <v>92327</v>
      </c>
      <c r="I46" s="8" t="b">
        <f t="shared" si="1"/>
        <v>1</v>
      </c>
    </row>
    <row r="47" spans="1:9" x14ac:dyDescent="0.35">
      <c r="A47" s="4" t="s">
        <v>146</v>
      </c>
      <c r="B47" s="4" t="s">
        <v>147</v>
      </c>
      <c r="C47" s="4" t="s">
        <v>148</v>
      </c>
      <c r="D47" s="5" t="s">
        <v>13</v>
      </c>
      <c r="E47" s="4" t="s">
        <v>19</v>
      </c>
      <c r="F47" s="1">
        <v>100212</v>
      </c>
      <c r="G47" s="6" t="str">
        <f t="shared" si="0"/>
        <v>Target achieve</v>
      </c>
      <c r="H47" s="1">
        <v>64866</v>
      </c>
      <c r="I47" s="8" t="b">
        <f t="shared" si="1"/>
        <v>0</v>
      </c>
    </row>
    <row r="48" spans="1:9" x14ac:dyDescent="0.35">
      <c r="A48" s="4" t="s">
        <v>149</v>
      </c>
      <c r="B48" s="4" t="s">
        <v>150</v>
      </c>
      <c r="C48" s="4" t="s">
        <v>151</v>
      </c>
      <c r="D48" s="5" t="s">
        <v>38</v>
      </c>
      <c r="E48" s="4" t="s">
        <v>19</v>
      </c>
      <c r="F48" s="1">
        <v>98530</v>
      </c>
      <c r="G48" s="6" t="str">
        <f t="shared" si="0"/>
        <v>NOT Achieve</v>
      </c>
      <c r="H48" s="1">
        <v>135845</v>
      </c>
      <c r="I48" s="8" t="b">
        <f t="shared" si="1"/>
        <v>1</v>
      </c>
    </row>
    <row r="49" spans="1:9" x14ac:dyDescent="0.35">
      <c r="A49" s="4" t="s">
        <v>152</v>
      </c>
      <c r="B49" s="4" t="s">
        <v>153</v>
      </c>
      <c r="C49" s="4" t="s">
        <v>154</v>
      </c>
      <c r="D49" s="5" t="s">
        <v>23</v>
      </c>
      <c r="E49" s="4" t="s">
        <v>19</v>
      </c>
      <c r="F49" s="1">
        <v>151579</v>
      </c>
      <c r="G49" s="6" t="str">
        <f t="shared" si="0"/>
        <v>Target achieve</v>
      </c>
      <c r="H49" s="1">
        <v>81382</v>
      </c>
      <c r="I49" s="8" t="b">
        <f t="shared" si="1"/>
        <v>1</v>
      </c>
    </row>
    <row r="50" spans="1:9" x14ac:dyDescent="0.35">
      <c r="A50" s="4" t="s">
        <v>155</v>
      </c>
      <c r="B50" s="4" t="s">
        <v>156</v>
      </c>
      <c r="C50" s="4" t="s">
        <v>157</v>
      </c>
      <c r="D50" s="5" t="s">
        <v>7</v>
      </c>
      <c r="E50" s="4" t="s">
        <v>24</v>
      </c>
      <c r="F50" s="1">
        <v>43234</v>
      </c>
      <c r="G50" s="6" t="str">
        <f t="shared" si="0"/>
        <v>NOT Achieve</v>
      </c>
      <c r="H50" s="1">
        <v>108166</v>
      </c>
      <c r="I50" s="8" t="b">
        <f t="shared" si="1"/>
        <v>1</v>
      </c>
    </row>
    <row r="51" spans="1:9" x14ac:dyDescent="0.35">
      <c r="A51" s="4" t="s">
        <v>158</v>
      </c>
      <c r="B51" s="4" t="s">
        <v>159</v>
      </c>
      <c r="C51" s="4" t="s">
        <v>160</v>
      </c>
      <c r="D51" s="5" t="s">
        <v>13</v>
      </c>
      <c r="E51" s="4" t="s">
        <v>46</v>
      </c>
      <c r="F51" s="1">
        <v>98959</v>
      </c>
      <c r="G51" s="6" t="str">
        <f t="shared" si="0"/>
        <v>Target achieve</v>
      </c>
      <c r="H51" s="1">
        <v>61070</v>
      </c>
      <c r="I51" s="8" t="b">
        <f t="shared" si="1"/>
        <v>0</v>
      </c>
    </row>
    <row r="52" spans="1:9" x14ac:dyDescent="0.35">
      <c r="A52" s="4" t="s">
        <v>161</v>
      </c>
      <c r="B52" s="4" t="s">
        <v>162</v>
      </c>
      <c r="C52" s="4" t="s">
        <v>163</v>
      </c>
      <c r="D52" s="5" t="s">
        <v>7</v>
      </c>
      <c r="E52" s="4" t="s">
        <v>24</v>
      </c>
      <c r="F52" s="1">
        <v>108817</v>
      </c>
      <c r="G52" s="6" t="str">
        <f t="shared" si="0"/>
        <v>NOT Achieve</v>
      </c>
      <c r="H52" s="1">
        <v>127391</v>
      </c>
      <c r="I52" s="8" t="b">
        <f t="shared" si="1"/>
        <v>1</v>
      </c>
    </row>
    <row r="53" spans="1:9" x14ac:dyDescent="0.35">
      <c r="A53" s="4" t="s">
        <v>164</v>
      </c>
      <c r="B53" s="4" t="s">
        <v>63</v>
      </c>
      <c r="C53" s="4" t="s">
        <v>165</v>
      </c>
      <c r="D53" s="5" t="s">
        <v>38</v>
      </c>
      <c r="E53" s="4" t="s">
        <v>19</v>
      </c>
      <c r="F53" s="1">
        <v>128855</v>
      </c>
      <c r="G53" s="6" t="str">
        <f t="shared" si="0"/>
        <v>NOT Achieve</v>
      </c>
      <c r="H53" s="1">
        <v>132428</v>
      </c>
      <c r="I53" s="8" t="b">
        <f t="shared" si="1"/>
        <v>1</v>
      </c>
    </row>
    <row r="54" spans="1:9" x14ac:dyDescent="0.35">
      <c r="A54" s="4" t="s">
        <v>166</v>
      </c>
      <c r="B54" s="4" t="s">
        <v>167</v>
      </c>
      <c r="C54" s="4" t="s">
        <v>168</v>
      </c>
      <c r="D54" s="5" t="s">
        <v>18</v>
      </c>
      <c r="E54" s="4" t="s">
        <v>24</v>
      </c>
      <c r="F54" s="1">
        <v>120150</v>
      </c>
      <c r="G54" s="6" t="str">
        <f t="shared" si="0"/>
        <v>Target achieve</v>
      </c>
      <c r="H54" s="1">
        <v>103338</v>
      </c>
      <c r="I54" s="8" t="b">
        <f t="shared" si="1"/>
        <v>1</v>
      </c>
    </row>
    <row r="55" spans="1:9" x14ac:dyDescent="0.35">
      <c r="A55" s="4" t="s">
        <v>169</v>
      </c>
      <c r="B55" s="4" t="s">
        <v>170</v>
      </c>
      <c r="C55" s="4" t="s">
        <v>171</v>
      </c>
      <c r="D55" s="5" t="s">
        <v>18</v>
      </c>
      <c r="E55" s="4" t="s">
        <v>24</v>
      </c>
      <c r="F55" s="1">
        <v>98251</v>
      </c>
      <c r="G55" s="6" t="str">
        <f t="shared" si="0"/>
        <v>Target achieve</v>
      </c>
      <c r="H55" s="1">
        <v>55325</v>
      </c>
      <c r="I55" s="8" t="b">
        <f t="shared" si="1"/>
        <v>0</v>
      </c>
    </row>
    <row r="56" spans="1:9" x14ac:dyDescent="0.35">
      <c r="A56" s="4" t="s">
        <v>172</v>
      </c>
      <c r="B56" s="4" t="s">
        <v>173</v>
      </c>
      <c r="C56" s="4" t="s">
        <v>174</v>
      </c>
      <c r="D56" s="5" t="s">
        <v>23</v>
      </c>
      <c r="E56" s="4" t="s">
        <v>14</v>
      </c>
      <c r="F56" s="1">
        <v>10000</v>
      </c>
      <c r="G56" s="7" t="e" cm="1">
        <f t="array" aca="1" ref="G56" ca="1">I(F56&gt;=H56,"Target achieve","NOT Achieve")</f>
        <v>#NAME?</v>
      </c>
      <c r="H56" s="1">
        <v>111180</v>
      </c>
      <c r="I56" s="8" t="b">
        <f t="shared" si="1"/>
        <v>1</v>
      </c>
    </row>
    <row r="57" spans="1:9" x14ac:dyDescent="0.35">
      <c r="A57" s="4" t="s">
        <v>175</v>
      </c>
      <c r="B57" s="4" t="s">
        <v>176</v>
      </c>
      <c r="C57" s="4" t="s">
        <v>177</v>
      </c>
      <c r="D57" s="5" t="s">
        <v>18</v>
      </c>
      <c r="E57" s="4" t="s">
        <v>46</v>
      </c>
      <c r="F57" s="1">
        <v>137509</v>
      </c>
      <c r="G57" s="6" t="str">
        <f t="shared" si="0"/>
        <v>Target achieve</v>
      </c>
      <c r="H57" s="1">
        <v>57327</v>
      </c>
      <c r="I57" s="8" t="b">
        <f t="shared" si="1"/>
        <v>0</v>
      </c>
    </row>
    <row r="58" spans="1:9" x14ac:dyDescent="0.35">
      <c r="A58" s="4" t="s">
        <v>178</v>
      </c>
      <c r="B58" s="4" t="s">
        <v>179</v>
      </c>
      <c r="C58" s="4" t="s">
        <v>180</v>
      </c>
      <c r="D58" s="5" t="s">
        <v>18</v>
      </c>
      <c r="E58" s="4" t="s">
        <v>19</v>
      </c>
      <c r="F58" s="1">
        <v>108485</v>
      </c>
      <c r="G58" s="6" t="str">
        <f t="shared" si="0"/>
        <v>Target achieve</v>
      </c>
      <c r="H58" s="1">
        <v>79776</v>
      </c>
      <c r="I58" s="8" t="b">
        <f t="shared" si="1"/>
        <v>1</v>
      </c>
    </row>
    <row r="59" spans="1:9" x14ac:dyDescent="0.35">
      <c r="A59" s="4" t="s">
        <v>181</v>
      </c>
      <c r="B59" s="4" t="s">
        <v>75</v>
      </c>
      <c r="C59" s="4" t="s">
        <v>182</v>
      </c>
      <c r="D59" s="5" t="s">
        <v>38</v>
      </c>
      <c r="E59" s="4" t="s">
        <v>28</v>
      </c>
      <c r="F59" s="1">
        <v>129093</v>
      </c>
      <c r="G59" s="6" t="str">
        <f t="shared" si="0"/>
        <v>Target achieve</v>
      </c>
      <c r="H59" s="1">
        <v>113300</v>
      </c>
      <c r="I59" s="8" t="b">
        <f t="shared" si="1"/>
        <v>1</v>
      </c>
    </row>
    <row r="60" spans="1:9" x14ac:dyDescent="0.35">
      <c r="A60" s="4" t="s">
        <v>183</v>
      </c>
      <c r="B60" s="4" t="s">
        <v>184</v>
      </c>
      <c r="C60" s="4" t="s">
        <v>185</v>
      </c>
      <c r="D60" s="5" t="s">
        <v>38</v>
      </c>
      <c r="E60" s="4" t="s">
        <v>46</v>
      </c>
      <c r="F60" s="1">
        <v>60449</v>
      </c>
      <c r="G60" s="7" t="e" cm="1">
        <f t="array" aca="1" ref="G60" ca="1">I(F60&gt;=H60,"Target achieve","NOT Achieve")</f>
        <v>#NAME?</v>
      </c>
      <c r="H60" s="1">
        <v>89663</v>
      </c>
      <c r="I60" s="8" t="b">
        <f t="shared" si="1"/>
        <v>1</v>
      </c>
    </row>
    <row r="61" spans="1:9" x14ac:dyDescent="0.35">
      <c r="A61" s="4" t="s">
        <v>186</v>
      </c>
      <c r="B61" s="4" t="s">
        <v>187</v>
      </c>
      <c r="C61" s="4" t="s">
        <v>188</v>
      </c>
      <c r="D61" s="5" t="s">
        <v>13</v>
      </c>
      <c r="E61" s="4" t="s">
        <v>14</v>
      </c>
      <c r="F61" s="1">
        <v>124974</v>
      </c>
      <c r="G61" s="6" t="str">
        <f t="shared" si="0"/>
        <v>Target achieve</v>
      </c>
      <c r="H61" s="1">
        <v>74985</v>
      </c>
      <c r="I61" s="8" t="b">
        <f t="shared" si="1"/>
        <v>1</v>
      </c>
    </row>
    <row r="62" spans="1:9" x14ac:dyDescent="0.35">
      <c r="A62" s="4" t="s">
        <v>189</v>
      </c>
      <c r="B62" s="4" t="s">
        <v>190</v>
      </c>
      <c r="C62" s="4" t="s">
        <v>191</v>
      </c>
      <c r="D62" s="5" t="s">
        <v>13</v>
      </c>
      <c r="E62" s="4" t="s">
        <v>28</v>
      </c>
      <c r="F62" s="1">
        <v>81802</v>
      </c>
      <c r="G62" s="6" t="str">
        <f t="shared" si="0"/>
        <v>NOT Achieve</v>
      </c>
      <c r="H62" s="1">
        <v>134102</v>
      </c>
      <c r="I62" s="8" t="b">
        <f t="shared" si="1"/>
        <v>1</v>
      </c>
    </row>
    <row r="63" spans="1:9" x14ac:dyDescent="0.35">
      <c r="A63" s="4" t="s">
        <v>192</v>
      </c>
      <c r="B63" s="4" t="s">
        <v>193</v>
      </c>
      <c r="C63" s="4" t="s">
        <v>194</v>
      </c>
      <c r="D63" s="5" t="s">
        <v>13</v>
      </c>
      <c r="E63" s="4" t="s">
        <v>14</v>
      </c>
      <c r="F63" s="1">
        <v>166718</v>
      </c>
      <c r="G63" s="6" t="str">
        <f t="shared" si="0"/>
        <v>Target achieve</v>
      </c>
      <c r="H63" s="1">
        <v>83512</v>
      </c>
      <c r="I63" s="8" t="b">
        <f t="shared" si="1"/>
        <v>1</v>
      </c>
    </row>
    <row r="64" spans="1:9" x14ac:dyDescent="0.35">
      <c r="A64" s="4" t="s">
        <v>195</v>
      </c>
      <c r="B64" s="4" t="s">
        <v>196</v>
      </c>
      <c r="C64" s="4" t="s">
        <v>197</v>
      </c>
      <c r="D64" s="5" t="s">
        <v>45</v>
      </c>
      <c r="E64" s="4" t="s">
        <v>28</v>
      </c>
      <c r="F64" s="1">
        <v>127380</v>
      </c>
      <c r="G64" s="6" t="str">
        <f t="shared" si="0"/>
        <v>Target achieve</v>
      </c>
      <c r="H64" s="1">
        <v>100566</v>
      </c>
      <c r="I64" s="8" t="b">
        <f t="shared" si="1"/>
        <v>1</v>
      </c>
    </row>
    <row r="65" spans="1:9" x14ac:dyDescent="0.35">
      <c r="A65" s="4" t="s">
        <v>198</v>
      </c>
      <c r="B65" s="4" t="s">
        <v>84</v>
      </c>
      <c r="C65" s="4" t="s">
        <v>199</v>
      </c>
      <c r="D65" s="5" t="s">
        <v>18</v>
      </c>
      <c r="E65" s="4" t="s">
        <v>14</v>
      </c>
      <c r="F65" s="1">
        <v>53364</v>
      </c>
      <c r="G65" s="6" t="str">
        <f t="shared" si="0"/>
        <v>NOT Achieve</v>
      </c>
      <c r="H65" s="1">
        <v>98938</v>
      </c>
      <c r="I65" s="8" t="b">
        <f t="shared" si="1"/>
        <v>1</v>
      </c>
    </row>
    <row r="66" spans="1:9" x14ac:dyDescent="0.35">
      <c r="A66" s="4" t="s">
        <v>200</v>
      </c>
      <c r="B66" s="4" t="s">
        <v>201</v>
      </c>
      <c r="C66" s="4" t="s">
        <v>202</v>
      </c>
      <c r="D66" s="5" t="s">
        <v>18</v>
      </c>
      <c r="E66" s="4" t="s">
        <v>24</v>
      </c>
      <c r="F66" s="1">
        <v>143761</v>
      </c>
      <c r="G66" s="6" t="str">
        <f t="shared" si="0"/>
        <v>Target achieve</v>
      </c>
      <c r="H66" s="1">
        <v>50385</v>
      </c>
      <c r="I66" s="8" t="b">
        <f t="shared" si="1"/>
        <v>0</v>
      </c>
    </row>
    <row r="67" spans="1:9" x14ac:dyDescent="0.35">
      <c r="A67" s="4" t="s">
        <v>203</v>
      </c>
      <c r="B67" s="4" t="s">
        <v>179</v>
      </c>
      <c r="C67" s="4" t="s">
        <v>204</v>
      </c>
      <c r="D67" s="5" t="s">
        <v>23</v>
      </c>
      <c r="E67" s="4" t="s">
        <v>24</v>
      </c>
      <c r="F67" s="1">
        <v>58138</v>
      </c>
      <c r="G67" s="6" t="str">
        <f t="shared" si="0"/>
        <v>NOT Achieve</v>
      </c>
      <c r="H67" s="1">
        <v>87238</v>
      </c>
      <c r="I67" s="8" t="b">
        <f t="shared" si="1"/>
        <v>1</v>
      </c>
    </row>
    <row r="68" spans="1:9" x14ac:dyDescent="0.35">
      <c r="A68" s="4" t="s">
        <v>205</v>
      </c>
      <c r="B68" s="4" t="s">
        <v>206</v>
      </c>
      <c r="C68" s="4" t="s">
        <v>207</v>
      </c>
      <c r="D68" s="5" t="s">
        <v>18</v>
      </c>
      <c r="E68" s="4" t="s">
        <v>24</v>
      </c>
      <c r="F68" s="1">
        <v>139462</v>
      </c>
      <c r="G68" s="6" t="str">
        <f t="shared" ref="G68:G103" si="2">IF(F68&gt;=H68,"Target achieve","NOT Achieve")</f>
        <v>Target achieve</v>
      </c>
      <c r="H68" s="1">
        <v>98289</v>
      </c>
      <c r="I68" s="8" t="b">
        <f t="shared" si="1"/>
        <v>1</v>
      </c>
    </row>
    <row r="69" spans="1:9" x14ac:dyDescent="0.35">
      <c r="A69" s="4" t="s">
        <v>208</v>
      </c>
      <c r="B69" s="4" t="s">
        <v>209</v>
      </c>
      <c r="C69" s="4" t="s">
        <v>210</v>
      </c>
      <c r="D69" s="5" t="s">
        <v>38</v>
      </c>
      <c r="E69" s="4" t="s">
        <v>46</v>
      </c>
      <c r="F69" s="1">
        <v>164787</v>
      </c>
      <c r="G69" s="6" t="str">
        <f t="shared" si="2"/>
        <v>Target achieve</v>
      </c>
      <c r="H69" s="1">
        <v>144433</v>
      </c>
      <c r="I69" s="8" t="b">
        <f t="shared" ref="I69:I103" si="3">AND(H69&gt;70000)</f>
        <v>1</v>
      </c>
    </row>
    <row r="70" spans="1:9" x14ac:dyDescent="0.35">
      <c r="A70" s="4" t="s">
        <v>211</v>
      </c>
      <c r="B70" s="4" t="s">
        <v>212</v>
      </c>
      <c r="C70" s="4" t="s">
        <v>213</v>
      </c>
      <c r="D70" s="5" t="s">
        <v>18</v>
      </c>
      <c r="E70" s="4" t="s">
        <v>24</v>
      </c>
      <c r="F70" s="1">
        <v>155115</v>
      </c>
      <c r="G70" s="6" t="str">
        <f t="shared" si="2"/>
        <v>Target achieve</v>
      </c>
      <c r="H70" s="1">
        <v>90144</v>
      </c>
      <c r="I70" s="8" t="b">
        <f t="shared" si="3"/>
        <v>1</v>
      </c>
    </row>
    <row r="71" spans="1:9" x14ac:dyDescent="0.35">
      <c r="A71" s="4" t="s">
        <v>214</v>
      </c>
      <c r="B71" s="4" t="s">
        <v>215</v>
      </c>
      <c r="C71" s="4" t="s">
        <v>216</v>
      </c>
      <c r="D71" s="5" t="s">
        <v>23</v>
      </c>
      <c r="E71" s="4" t="s">
        <v>19</v>
      </c>
      <c r="F71" s="1">
        <v>140230</v>
      </c>
      <c r="G71" s="6" t="str">
        <f t="shared" si="2"/>
        <v>Target achieve</v>
      </c>
      <c r="H71" s="1">
        <v>50154</v>
      </c>
      <c r="I71" s="8" t="b">
        <f t="shared" si="3"/>
        <v>0</v>
      </c>
    </row>
    <row r="72" spans="1:9" x14ac:dyDescent="0.35">
      <c r="A72" s="4" t="s">
        <v>217</v>
      </c>
      <c r="B72" s="4" t="s">
        <v>218</v>
      </c>
      <c r="C72" s="4" t="s">
        <v>219</v>
      </c>
      <c r="D72" s="5" t="s">
        <v>23</v>
      </c>
      <c r="E72" s="4" t="s">
        <v>19</v>
      </c>
      <c r="F72" s="1">
        <v>147431</v>
      </c>
      <c r="G72" s="6" t="str">
        <f t="shared" si="2"/>
        <v>Target achieve</v>
      </c>
      <c r="H72" s="1">
        <v>87063</v>
      </c>
      <c r="I72" s="8" t="b">
        <f t="shared" si="3"/>
        <v>1</v>
      </c>
    </row>
    <row r="73" spans="1:9" x14ac:dyDescent="0.35">
      <c r="A73" s="4" t="s">
        <v>220</v>
      </c>
      <c r="B73" s="4" t="s">
        <v>184</v>
      </c>
      <c r="C73" s="4" t="s">
        <v>221</v>
      </c>
      <c r="D73" s="5" t="s">
        <v>13</v>
      </c>
      <c r="E73" s="4" t="s">
        <v>19</v>
      </c>
      <c r="F73" s="1">
        <v>69054</v>
      </c>
      <c r="G73" s="6" t="str">
        <f t="shared" si="2"/>
        <v>Target achieve</v>
      </c>
      <c r="H73" s="1">
        <v>58727</v>
      </c>
      <c r="I73" s="8" t="b">
        <f t="shared" si="3"/>
        <v>0</v>
      </c>
    </row>
    <row r="74" spans="1:9" x14ac:dyDescent="0.35">
      <c r="A74" s="4" t="s">
        <v>222</v>
      </c>
      <c r="B74" s="4" t="s">
        <v>60</v>
      </c>
      <c r="C74" s="4" t="s">
        <v>223</v>
      </c>
      <c r="D74" s="5" t="s">
        <v>45</v>
      </c>
      <c r="E74" s="4" t="s">
        <v>46</v>
      </c>
      <c r="F74" s="1">
        <v>153775</v>
      </c>
      <c r="G74" s="6" t="str">
        <f t="shared" si="2"/>
        <v>Target achieve</v>
      </c>
      <c r="H74" s="1">
        <v>98666</v>
      </c>
      <c r="I74" s="8" t="b">
        <f t="shared" si="3"/>
        <v>1</v>
      </c>
    </row>
    <row r="75" spans="1:9" x14ac:dyDescent="0.35">
      <c r="A75" s="4" t="s">
        <v>224</v>
      </c>
      <c r="B75" s="4" t="s">
        <v>225</v>
      </c>
      <c r="C75" s="4" t="s">
        <v>226</v>
      </c>
      <c r="D75" s="5" t="s">
        <v>7</v>
      </c>
      <c r="E75" s="4" t="s">
        <v>28</v>
      </c>
      <c r="F75" s="1">
        <v>114126</v>
      </c>
      <c r="G75" s="6" t="str">
        <f t="shared" si="2"/>
        <v>Target achieve</v>
      </c>
      <c r="H75" s="1">
        <v>66780</v>
      </c>
      <c r="I75" s="8" t="b">
        <f t="shared" si="3"/>
        <v>0</v>
      </c>
    </row>
    <row r="76" spans="1:9" x14ac:dyDescent="0.35">
      <c r="A76" s="4" t="s">
        <v>227</v>
      </c>
      <c r="B76" s="4" t="s">
        <v>228</v>
      </c>
      <c r="C76" s="4" t="s">
        <v>229</v>
      </c>
      <c r="D76" s="5" t="s">
        <v>13</v>
      </c>
      <c r="E76" s="4" t="s">
        <v>14</v>
      </c>
      <c r="F76" s="1">
        <v>129591</v>
      </c>
      <c r="G76" s="6" t="str">
        <f t="shared" si="2"/>
        <v>Target achieve</v>
      </c>
      <c r="H76" s="1">
        <v>71271</v>
      </c>
      <c r="I76" s="8" t="b">
        <f t="shared" si="3"/>
        <v>1</v>
      </c>
    </row>
    <row r="77" spans="1:9" x14ac:dyDescent="0.35">
      <c r="A77" s="4" t="s">
        <v>230</v>
      </c>
      <c r="B77" s="4" t="s">
        <v>231</v>
      </c>
      <c r="C77" s="4" t="s">
        <v>232</v>
      </c>
      <c r="D77" s="5" t="s">
        <v>18</v>
      </c>
      <c r="E77" s="4" t="s">
        <v>19</v>
      </c>
      <c r="F77" s="1">
        <v>61290</v>
      </c>
      <c r="G77" s="6" t="str">
        <f t="shared" si="2"/>
        <v>Target achieve</v>
      </c>
      <c r="H77" s="1">
        <v>50371</v>
      </c>
      <c r="I77" s="8" t="b">
        <f t="shared" si="3"/>
        <v>0</v>
      </c>
    </row>
    <row r="78" spans="1:9" x14ac:dyDescent="0.35">
      <c r="A78" s="4" t="s">
        <v>233</v>
      </c>
      <c r="B78" s="4" t="s">
        <v>57</v>
      </c>
      <c r="C78" s="4" t="s">
        <v>234</v>
      </c>
      <c r="D78" s="5" t="s">
        <v>38</v>
      </c>
      <c r="E78" s="4" t="s">
        <v>24</v>
      </c>
      <c r="F78" s="1">
        <v>111584</v>
      </c>
      <c r="G78" s="6" t="str">
        <f t="shared" si="2"/>
        <v>Target achieve</v>
      </c>
      <c r="H78" s="1">
        <v>110259</v>
      </c>
      <c r="I78" s="8" t="b">
        <f t="shared" si="3"/>
        <v>1</v>
      </c>
    </row>
    <row r="79" spans="1:9" x14ac:dyDescent="0.35">
      <c r="A79" s="4" t="s">
        <v>235</v>
      </c>
      <c r="B79" s="4" t="s">
        <v>236</v>
      </c>
      <c r="C79" s="4" t="s">
        <v>237</v>
      </c>
      <c r="D79" s="5" t="s">
        <v>38</v>
      </c>
      <c r="E79" s="4" t="s">
        <v>19</v>
      </c>
      <c r="F79" s="1">
        <v>113570</v>
      </c>
      <c r="G79" s="6" t="str">
        <f t="shared" si="2"/>
        <v>Target achieve</v>
      </c>
      <c r="H79" s="1">
        <v>63366</v>
      </c>
      <c r="I79" s="8" t="b">
        <f t="shared" si="3"/>
        <v>0</v>
      </c>
    </row>
    <row r="80" spans="1:9" x14ac:dyDescent="0.35">
      <c r="A80" s="4" t="s">
        <v>238</v>
      </c>
      <c r="B80" s="4" t="s">
        <v>239</v>
      </c>
      <c r="C80" s="4" t="s">
        <v>240</v>
      </c>
      <c r="D80" s="5" t="s">
        <v>23</v>
      </c>
      <c r="E80" s="4" t="s">
        <v>14</v>
      </c>
      <c r="F80" s="1">
        <v>108006</v>
      </c>
      <c r="G80" s="6" t="str">
        <f t="shared" si="2"/>
        <v>NOT Achieve</v>
      </c>
      <c r="H80" s="1">
        <v>143011</v>
      </c>
      <c r="I80" s="8" t="b">
        <f t="shared" si="3"/>
        <v>1</v>
      </c>
    </row>
    <row r="81" spans="1:9" x14ac:dyDescent="0.35">
      <c r="A81" s="4" t="s">
        <v>241</v>
      </c>
      <c r="B81" s="4" t="s">
        <v>242</v>
      </c>
      <c r="C81" s="4" t="s">
        <v>243</v>
      </c>
      <c r="D81" s="5" t="s">
        <v>18</v>
      </c>
      <c r="E81" s="4" t="s">
        <v>24</v>
      </c>
      <c r="F81" s="1">
        <v>72472</v>
      </c>
      <c r="G81" s="6" t="str">
        <f t="shared" si="2"/>
        <v>NOT Achieve</v>
      </c>
      <c r="H81" s="1">
        <v>89863</v>
      </c>
      <c r="I81" s="8" t="b">
        <f t="shared" si="3"/>
        <v>1</v>
      </c>
    </row>
    <row r="82" spans="1:9" x14ac:dyDescent="0.35">
      <c r="A82" s="4" t="s">
        <v>244</v>
      </c>
      <c r="B82" s="4" t="s">
        <v>245</v>
      </c>
      <c r="C82" s="4" t="s">
        <v>246</v>
      </c>
      <c r="D82" s="5" t="s">
        <v>18</v>
      </c>
      <c r="E82" s="4" t="s">
        <v>19</v>
      </c>
      <c r="F82" s="1">
        <v>57936</v>
      </c>
      <c r="G82" s="6" t="str">
        <f t="shared" si="2"/>
        <v>NOT Achieve</v>
      </c>
      <c r="H82" s="1">
        <v>93662</v>
      </c>
      <c r="I82" s="8" t="b">
        <f t="shared" si="3"/>
        <v>1</v>
      </c>
    </row>
    <row r="83" spans="1:9" x14ac:dyDescent="0.35">
      <c r="A83" s="4" t="s">
        <v>247</v>
      </c>
      <c r="B83" s="4" t="s">
        <v>248</v>
      </c>
      <c r="C83" s="4" t="s">
        <v>249</v>
      </c>
      <c r="D83" s="5" t="s">
        <v>13</v>
      </c>
      <c r="E83" s="4" t="s">
        <v>28</v>
      </c>
      <c r="F83" s="1">
        <v>30802</v>
      </c>
      <c r="G83" s="6" t="str">
        <f t="shared" si="2"/>
        <v>NOT Achieve</v>
      </c>
      <c r="H83" s="1">
        <v>91545</v>
      </c>
      <c r="I83" s="8" t="b">
        <f t="shared" si="3"/>
        <v>1</v>
      </c>
    </row>
    <row r="84" spans="1:9" x14ac:dyDescent="0.35">
      <c r="A84" s="4" t="s">
        <v>250</v>
      </c>
      <c r="B84" s="4" t="s">
        <v>251</v>
      </c>
      <c r="C84" s="4" t="s">
        <v>252</v>
      </c>
      <c r="D84" s="5" t="s">
        <v>23</v>
      </c>
      <c r="E84" s="4" t="s">
        <v>19</v>
      </c>
      <c r="F84" s="1">
        <v>152818</v>
      </c>
      <c r="G84" s="6" t="str">
        <f t="shared" si="2"/>
        <v>Target achieve</v>
      </c>
      <c r="H84" s="1">
        <v>94494</v>
      </c>
      <c r="I84" s="8" t="b">
        <f t="shared" si="3"/>
        <v>1</v>
      </c>
    </row>
    <row r="85" spans="1:9" x14ac:dyDescent="0.35">
      <c r="A85" s="4" t="s">
        <v>253</v>
      </c>
      <c r="B85" s="4" t="s">
        <v>254</v>
      </c>
      <c r="C85" s="4" t="s">
        <v>255</v>
      </c>
      <c r="D85" s="5" t="s">
        <v>38</v>
      </c>
      <c r="E85" s="4" t="s">
        <v>46</v>
      </c>
      <c r="F85" s="1">
        <v>34245</v>
      </c>
      <c r="G85" s="6" t="str">
        <f t="shared" si="2"/>
        <v>NOT Achieve</v>
      </c>
      <c r="H85" s="1">
        <v>107803</v>
      </c>
      <c r="I85" s="8" t="b">
        <f t="shared" si="3"/>
        <v>1</v>
      </c>
    </row>
    <row r="86" spans="1:9" x14ac:dyDescent="0.35">
      <c r="A86" s="4" t="s">
        <v>256</v>
      </c>
      <c r="B86" s="4" t="s">
        <v>257</v>
      </c>
      <c r="C86" s="4" t="s">
        <v>258</v>
      </c>
      <c r="D86" s="5" t="s">
        <v>13</v>
      </c>
      <c r="E86" s="4" t="s">
        <v>46</v>
      </c>
      <c r="F86" s="1">
        <v>157648</v>
      </c>
      <c r="G86" s="6" t="str">
        <f t="shared" si="2"/>
        <v>Target achieve</v>
      </c>
      <c r="H86" s="1">
        <v>66651</v>
      </c>
      <c r="I86" s="8" t="b">
        <f t="shared" si="3"/>
        <v>0</v>
      </c>
    </row>
    <row r="87" spans="1:9" x14ac:dyDescent="0.35">
      <c r="A87" s="4" t="s">
        <v>259</v>
      </c>
      <c r="B87" s="4" t="s">
        <v>260</v>
      </c>
      <c r="C87" s="4" t="s">
        <v>261</v>
      </c>
      <c r="D87" s="5" t="s">
        <v>23</v>
      </c>
      <c r="E87" s="4" t="s">
        <v>46</v>
      </c>
      <c r="F87" s="1">
        <v>76953</v>
      </c>
      <c r="G87" s="6" t="str">
        <f t="shared" si="2"/>
        <v>Target achieve</v>
      </c>
      <c r="H87" s="1">
        <v>76290</v>
      </c>
      <c r="I87" s="8" t="b">
        <f t="shared" si="3"/>
        <v>1</v>
      </c>
    </row>
    <row r="88" spans="1:9" x14ac:dyDescent="0.35">
      <c r="A88" s="4" t="s">
        <v>262</v>
      </c>
      <c r="B88" s="4" t="s">
        <v>263</v>
      </c>
      <c r="C88" s="4" t="s">
        <v>264</v>
      </c>
      <c r="D88" s="5" t="s">
        <v>13</v>
      </c>
      <c r="E88" s="4" t="s">
        <v>19</v>
      </c>
      <c r="F88" s="1">
        <v>74865</v>
      </c>
      <c r="G88" s="6" t="str">
        <f t="shared" si="2"/>
        <v>NOT Achieve</v>
      </c>
      <c r="H88" s="1">
        <v>143008</v>
      </c>
      <c r="I88" s="8" t="b">
        <f t="shared" si="3"/>
        <v>1</v>
      </c>
    </row>
    <row r="89" spans="1:9" x14ac:dyDescent="0.35">
      <c r="A89" s="4" t="s">
        <v>265</v>
      </c>
      <c r="B89" s="4" t="s">
        <v>266</v>
      </c>
      <c r="C89" s="4" t="s">
        <v>267</v>
      </c>
      <c r="D89" s="5" t="s">
        <v>18</v>
      </c>
      <c r="E89" s="4" t="s">
        <v>19</v>
      </c>
      <c r="F89" s="1">
        <v>147653</v>
      </c>
      <c r="G89" s="6" t="str">
        <f t="shared" si="2"/>
        <v>Target achieve</v>
      </c>
      <c r="H89" s="1">
        <v>127909</v>
      </c>
      <c r="I89" s="8" t="b">
        <f t="shared" si="3"/>
        <v>1</v>
      </c>
    </row>
    <row r="90" spans="1:9" x14ac:dyDescent="0.35">
      <c r="A90" s="4" t="s">
        <v>268</v>
      </c>
      <c r="B90" s="4" t="s">
        <v>269</v>
      </c>
      <c r="C90" s="4" t="s">
        <v>270</v>
      </c>
      <c r="D90" s="5" t="s">
        <v>45</v>
      </c>
      <c r="E90" s="4" t="s">
        <v>28</v>
      </c>
      <c r="F90" s="1">
        <v>167796</v>
      </c>
      <c r="G90" s="6" t="str">
        <f t="shared" si="2"/>
        <v>Target achieve</v>
      </c>
      <c r="H90" s="1">
        <v>126452</v>
      </c>
      <c r="I90" s="8" t="b">
        <f t="shared" si="3"/>
        <v>1</v>
      </c>
    </row>
    <row r="91" spans="1:9" x14ac:dyDescent="0.35">
      <c r="A91" s="4" t="s">
        <v>271</v>
      </c>
      <c r="B91" s="4" t="s">
        <v>272</v>
      </c>
      <c r="C91" s="4" t="s">
        <v>273</v>
      </c>
      <c r="D91" s="5" t="s">
        <v>45</v>
      </c>
      <c r="E91" s="4" t="s">
        <v>46</v>
      </c>
      <c r="F91" s="1">
        <v>106332</v>
      </c>
      <c r="G91" s="6" t="str">
        <f t="shared" si="2"/>
        <v>NOT Achieve</v>
      </c>
      <c r="H91" s="1">
        <v>111465</v>
      </c>
      <c r="I91" s="8" t="b">
        <f t="shared" si="3"/>
        <v>1</v>
      </c>
    </row>
    <row r="92" spans="1:9" x14ac:dyDescent="0.35">
      <c r="A92" s="4" t="s">
        <v>274</v>
      </c>
      <c r="B92" s="4" t="s">
        <v>275</v>
      </c>
      <c r="C92" s="4" t="s">
        <v>276</v>
      </c>
      <c r="D92" s="5" t="s">
        <v>38</v>
      </c>
      <c r="E92" s="4" t="s">
        <v>46</v>
      </c>
      <c r="F92" s="1">
        <v>30908</v>
      </c>
      <c r="G92" s="6" t="str">
        <f t="shared" si="2"/>
        <v>NOT Achieve</v>
      </c>
      <c r="H92" s="1">
        <v>54029</v>
      </c>
      <c r="I92" s="8" t="b">
        <f t="shared" si="3"/>
        <v>0</v>
      </c>
    </row>
    <row r="93" spans="1:9" x14ac:dyDescent="0.35">
      <c r="A93" s="4" t="s">
        <v>277</v>
      </c>
      <c r="B93" s="4" t="s">
        <v>278</v>
      </c>
      <c r="C93" s="4" t="s">
        <v>279</v>
      </c>
      <c r="D93" s="5" t="s">
        <v>7</v>
      </c>
      <c r="E93" s="4" t="s">
        <v>24</v>
      </c>
      <c r="F93" s="1">
        <v>126051</v>
      </c>
      <c r="G93" s="6" t="str">
        <f t="shared" si="2"/>
        <v>NOT Achieve</v>
      </c>
      <c r="H93" s="1">
        <v>146577</v>
      </c>
      <c r="I93" s="8" t="b">
        <f t="shared" si="3"/>
        <v>1</v>
      </c>
    </row>
    <row r="94" spans="1:9" x14ac:dyDescent="0.35">
      <c r="A94" s="4" t="s">
        <v>280</v>
      </c>
      <c r="B94" s="4" t="s">
        <v>95</v>
      </c>
      <c r="C94" s="4" t="s">
        <v>281</v>
      </c>
      <c r="D94" s="5" t="s">
        <v>23</v>
      </c>
      <c r="E94" s="4" t="s">
        <v>28</v>
      </c>
      <c r="F94" s="1">
        <v>63701</v>
      </c>
      <c r="G94" s="6" t="str">
        <f t="shared" si="2"/>
        <v>NOT Achieve</v>
      </c>
      <c r="H94" s="1">
        <v>133091</v>
      </c>
      <c r="I94" s="8" t="b">
        <f t="shared" si="3"/>
        <v>1</v>
      </c>
    </row>
    <row r="95" spans="1:9" x14ac:dyDescent="0.35">
      <c r="A95" s="4" t="s">
        <v>282</v>
      </c>
      <c r="B95" s="4" t="s">
        <v>283</v>
      </c>
      <c r="C95" s="4" t="s">
        <v>284</v>
      </c>
      <c r="D95" s="5" t="s">
        <v>38</v>
      </c>
      <c r="E95" s="4" t="s">
        <v>46</v>
      </c>
      <c r="F95" s="1">
        <v>139960</v>
      </c>
      <c r="G95" s="6" t="str">
        <f t="shared" si="2"/>
        <v>Target achieve</v>
      </c>
      <c r="H95" s="1">
        <v>90627</v>
      </c>
      <c r="I95" s="8" t="b">
        <f t="shared" si="3"/>
        <v>1</v>
      </c>
    </row>
    <row r="96" spans="1:9" x14ac:dyDescent="0.35">
      <c r="A96" s="4" t="s">
        <v>285</v>
      </c>
      <c r="B96" s="4" t="s">
        <v>286</v>
      </c>
      <c r="C96" s="4" t="s">
        <v>287</v>
      </c>
      <c r="D96" s="5" t="s">
        <v>7</v>
      </c>
      <c r="E96" s="4" t="s">
        <v>14</v>
      </c>
      <c r="F96" s="1">
        <v>147782</v>
      </c>
      <c r="G96" s="6" t="str">
        <f t="shared" si="2"/>
        <v>Target achieve</v>
      </c>
      <c r="H96" s="1">
        <v>57856</v>
      </c>
      <c r="I96" s="8" t="b">
        <f t="shared" si="3"/>
        <v>0</v>
      </c>
    </row>
    <row r="97" spans="1:9" x14ac:dyDescent="0.35">
      <c r="A97" s="4" t="s">
        <v>288</v>
      </c>
      <c r="B97" s="4" t="s">
        <v>289</v>
      </c>
      <c r="C97" s="4" t="s">
        <v>290</v>
      </c>
      <c r="D97" s="5" t="s">
        <v>38</v>
      </c>
      <c r="E97" s="4" t="s">
        <v>28</v>
      </c>
      <c r="F97" s="1">
        <v>155321</v>
      </c>
      <c r="G97" s="6" t="str">
        <f t="shared" si="2"/>
        <v>Target achieve</v>
      </c>
      <c r="H97" s="1">
        <v>89064</v>
      </c>
      <c r="I97" s="8" t="b">
        <f t="shared" si="3"/>
        <v>1</v>
      </c>
    </row>
    <row r="98" spans="1:9" x14ac:dyDescent="0.35">
      <c r="A98" s="4" t="s">
        <v>291</v>
      </c>
      <c r="B98" s="4" t="s">
        <v>95</v>
      </c>
      <c r="C98" s="4" t="s">
        <v>292</v>
      </c>
      <c r="D98" s="5" t="s">
        <v>38</v>
      </c>
      <c r="E98" s="4" t="s">
        <v>14</v>
      </c>
      <c r="F98" s="1">
        <v>91145</v>
      </c>
      <c r="G98" s="6" t="str">
        <f t="shared" si="2"/>
        <v>NOT Achieve</v>
      </c>
      <c r="H98" s="1">
        <v>137814</v>
      </c>
      <c r="I98" s="8" t="b">
        <f t="shared" si="3"/>
        <v>1</v>
      </c>
    </row>
    <row r="99" spans="1:9" x14ac:dyDescent="0.35">
      <c r="A99" s="4" t="s">
        <v>293</v>
      </c>
      <c r="B99" s="4" t="s">
        <v>104</v>
      </c>
      <c r="C99" s="4" t="s">
        <v>294</v>
      </c>
      <c r="D99" s="5" t="s">
        <v>23</v>
      </c>
      <c r="E99" s="4" t="s">
        <v>14</v>
      </c>
      <c r="F99" s="1">
        <v>86627</v>
      </c>
      <c r="G99" s="6" t="str">
        <f t="shared" si="2"/>
        <v>Target achieve</v>
      </c>
      <c r="H99" s="1">
        <v>86486</v>
      </c>
      <c r="I99" s="8" t="b">
        <f t="shared" si="3"/>
        <v>1</v>
      </c>
    </row>
    <row r="100" spans="1:9" x14ac:dyDescent="0.35">
      <c r="A100" s="4" t="s">
        <v>295</v>
      </c>
      <c r="B100" s="4" t="s">
        <v>239</v>
      </c>
      <c r="C100" s="4" t="s">
        <v>296</v>
      </c>
      <c r="D100" s="5" t="s">
        <v>7</v>
      </c>
      <c r="E100" s="4" t="s">
        <v>46</v>
      </c>
      <c r="F100" s="1">
        <v>55465</v>
      </c>
      <c r="G100" s="6" t="str">
        <f t="shared" si="2"/>
        <v>NOT Achieve</v>
      </c>
      <c r="H100" s="1">
        <v>124244</v>
      </c>
      <c r="I100" s="8" t="b">
        <f t="shared" si="3"/>
        <v>1</v>
      </c>
    </row>
    <row r="101" spans="1:9" x14ac:dyDescent="0.35">
      <c r="A101" s="4" t="s">
        <v>297</v>
      </c>
      <c r="B101" s="4" t="s">
        <v>298</v>
      </c>
      <c r="C101" s="4" t="s">
        <v>299</v>
      </c>
      <c r="D101" s="5" t="s">
        <v>38</v>
      </c>
      <c r="E101" s="4" t="s">
        <v>28</v>
      </c>
      <c r="F101" s="1">
        <v>107624</v>
      </c>
      <c r="G101" s="6" t="str">
        <f t="shared" si="2"/>
        <v>NOT Achieve</v>
      </c>
      <c r="H101" s="1">
        <v>136698</v>
      </c>
      <c r="I101" s="8" t="b">
        <f t="shared" si="3"/>
        <v>1</v>
      </c>
    </row>
    <row r="102" spans="1:9" x14ac:dyDescent="0.35">
      <c r="A102" s="4" t="s">
        <v>300</v>
      </c>
      <c r="B102" s="4" t="s">
        <v>209</v>
      </c>
      <c r="C102" s="4" t="s">
        <v>301</v>
      </c>
      <c r="D102" s="5" t="s">
        <v>18</v>
      </c>
      <c r="E102" s="4" t="s">
        <v>19</v>
      </c>
      <c r="F102" s="1">
        <v>35759</v>
      </c>
      <c r="G102" s="7" t="e" cm="1">
        <f t="array" aca="1" ref="G102" ca="1">I(F102&gt;=H102,"Target achieve","NOT Achieve")</f>
        <v>#NAME?</v>
      </c>
      <c r="H102" s="1">
        <v>134464</v>
      </c>
      <c r="I102" s="8" t="b">
        <f t="shared" si="3"/>
        <v>1</v>
      </c>
    </row>
    <row r="103" spans="1:9" x14ac:dyDescent="0.35">
      <c r="A103" s="4" t="s">
        <v>302</v>
      </c>
      <c r="B103" s="4" t="s">
        <v>72</v>
      </c>
      <c r="C103" s="4" t="s">
        <v>303</v>
      </c>
      <c r="D103" s="5" t="s">
        <v>23</v>
      </c>
      <c r="E103" s="4" t="s">
        <v>24</v>
      </c>
      <c r="F103" s="1">
        <v>76402</v>
      </c>
      <c r="G103" s="6" t="str">
        <f t="shared" si="2"/>
        <v>Target achieve</v>
      </c>
      <c r="H103" s="1">
        <v>74539</v>
      </c>
      <c r="I103" s="8" t="b">
        <f t="shared" si="3"/>
        <v>1</v>
      </c>
    </row>
  </sheetData>
  <mergeCells count="8">
    <mergeCell ref="M9:N9"/>
    <mergeCell ref="A1:I1"/>
    <mergeCell ref="A2:I2"/>
    <mergeCell ref="Q1:R1"/>
    <mergeCell ref="M5:N5"/>
    <mergeCell ref="M6:N6"/>
    <mergeCell ref="M7:N7"/>
    <mergeCell ref="M8:N8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HASSAN</dc:creator>
  <cp:lastModifiedBy>MUHAMMAD HASSAN</cp:lastModifiedBy>
  <dcterms:created xsi:type="dcterms:W3CDTF">2026-07-23T11:17:48Z</dcterms:created>
  <dcterms:modified xsi:type="dcterms:W3CDTF">2026-07-26T11:34:32Z</dcterms:modified>
</cp:coreProperties>
</file>