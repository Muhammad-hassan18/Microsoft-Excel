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8c16bd6028e6cb14/Documents/EXcel course/"/>
    </mc:Choice>
  </mc:AlternateContent>
  <xr:revisionPtr revIDLastSave="160" documentId="11_C0902B91937CE2CEEB3B98154B5DCE3A674DBAE5" xr6:coauthVersionLast="47" xr6:coauthVersionMax="47" xr10:uidLastSave="{4B9943DA-DF4A-4F4B-BE09-70549B28DDD7}"/>
  <bookViews>
    <workbookView xWindow="-110" yWindow="-110" windowWidth="19420" windowHeight="103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3" i="1" l="1"/>
  <c r="T13" i="1"/>
  <c r="U9" i="1"/>
  <c r="V9" i="1" s="1"/>
  <c r="U8" i="1"/>
  <c r="V8" i="1" s="1"/>
  <c r="C11" i="1"/>
  <c r="C3" i="1"/>
  <c r="C4" i="1"/>
  <c r="C5" i="1"/>
  <c r="C6" i="1"/>
  <c r="C7" i="1"/>
  <c r="C8" i="1"/>
  <c r="C9" i="1"/>
  <c r="C10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  <c r="P3" i="1"/>
  <c r="P4" i="1"/>
  <c r="P5" i="1"/>
  <c r="P6" i="1"/>
  <c r="P7" i="1"/>
  <c r="P8" i="1"/>
  <c r="P9" i="1"/>
  <c r="P10" i="1"/>
  <c r="P2" i="1"/>
  <c r="O3" i="1"/>
  <c r="O4" i="1"/>
  <c r="O5" i="1"/>
  <c r="O6" i="1"/>
  <c r="O7" i="1"/>
  <c r="O8" i="1"/>
  <c r="O9" i="1"/>
  <c r="O10" i="1"/>
  <c r="O2" i="1"/>
  <c r="S24" i="1"/>
  <c r="R14" i="1"/>
  <c r="R15" i="1"/>
  <c r="R16" i="1"/>
  <c r="R17" i="1"/>
  <c r="R18" i="1"/>
  <c r="R19" i="1"/>
  <c r="R20" i="1"/>
  <c r="R21" i="1"/>
  <c r="R13" i="1"/>
  <c r="Q14" i="1"/>
  <c r="Q15" i="1"/>
  <c r="Q16" i="1"/>
  <c r="Q17" i="1"/>
  <c r="Q18" i="1"/>
  <c r="Q19" i="1"/>
  <c r="Q20" i="1"/>
  <c r="Q21" i="1"/>
  <c r="Q13" i="1"/>
  <c r="P13" i="1"/>
  <c r="T24" i="1"/>
  <c r="Q24" i="1"/>
  <c r="P24" i="1"/>
  <c r="P14" i="1"/>
  <c r="P15" i="1"/>
  <c r="P16" i="1"/>
  <c r="P17" i="1"/>
  <c r="P18" i="1"/>
  <c r="P19" i="1"/>
  <c r="P20" i="1"/>
  <c r="P21" i="1"/>
  <c r="R24" i="1"/>
  <c r="R25" i="1"/>
  <c r="R26" i="1"/>
  <c r="R27" i="1"/>
  <c r="R28" i="1"/>
  <c r="R29" i="1"/>
  <c r="R30" i="1"/>
  <c r="R31" i="1"/>
  <c r="R32" i="1"/>
  <c r="T32" i="1"/>
  <c r="T25" i="1"/>
  <c r="T26" i="1"/>
  <c r="T27" i="1"/>
  <c r="T28" i="1"/>
  <c r="T29" i="1"/>
  <c r="T30" i="1"/>
  <c r="T31" i="1"/>
  <c r="S25" i="1"/>
  <c r="S26" i="1"/>
  <c r="S27" i="1"/>
  <c r="S28" i="1"/>
  <c r="S29" i="1"/>
  <c r="S30" i="1"/>
  <c r="S31" i="1"/>
  <c r="S32" i="1"/>
  <c r="Q25" i="1"/>
  <c r="Q26" i="1"/>
  <c r="Q27" i="1"/>
  <c r="Q28" i="1"/>
  <c r="Q29" i="1"/>
  <c r="Q30" i="1"/>
  <c r="Q31" i="1"/>
  <c r="Q32" i="1"/>
  <c r="P25" i="1"/>
  <c r="P26" i="1"/>
  <c r="P27" i="1"/>
  <c r="P28" i="1"/>
  <c r="P29" i="1"/>
  <c r="P30" i="1"/>
  <c r="P31" i="1"/>
  <c r="P32" i="1"/>
  <c r="R9" i="1"/>
  <c r="S10" i="1" s="1"/>
  <c r="R2" i="1"/>
  <c r="S2" i="1" s="1"/>
  <c r="R5" i="1"/>
  <c r="S5" i="1" s="1"/>
  <c r="W8" i="1" l="1"/>
  <c r="W9" i="1"/>
  <c r="U5" i="1"/>
  <c r="T5" i="1"/>
  <c r="U2" i="1"/>
  <c r="T2" i="1"/>
  <c r="V5" i="1" l="1"/>
  <c r="V2" i="1"/>
</calcChain>
</file>

<file path=xl/sharedStrings.xml><?xml version="1.0" encoding="utf-8"?>
<sst xmlns="http://schemas.openxmlformats.org/spreadsheetml/2006/main" count="7954" uniqueCount="2846">
  <si>
    <t>Order ID</t>
  </si>
  <si>
    <t>Order Date</t>
  </si>
  <si>
    <t>Ship Date</t>
  </si>
  <si>
    <t>Customer Name</t>
  </si>
  <si>
    <t>City</t>
  </si>
  <si>
    <t>Region</t>
  </si>
  <si>
    <t>Category</t>
  </si>
  <si>
    <t>Sales</t>
  </si>
  <si>
    <t>Discount</t>
  </si>
  <si>
    <t>Status</t>
  </si>
  <si>
    <t>ORD-10000</t>
  </si>
  <si>
    <t>2025-02-18</t>
  </si>
  <si>
    <t>02-27-2025</t>
  </si>
  <si>
    <t>Ahmed</t>
  </si>
  <si>
    <t>Islamabad</t>
  </si>
  <si>
    <t>Central</t>
  </si>
  <si>
    <t>Furniture</t>
  </si>
  <si>
    <t>Returned</t>
  </si>
  <si>
    <t xml:space="preserve"> ORD-10001 </t>
  </si>
  <si>
    <t>07 August 2024</t>
  </si>
  <si>
    <t xml:space="preserve"> 10-Aug-2024 03:30</t>
  </si>
  <si>
    <t xml:space="preserve">Fatima  </t>
  </si>
  <si>
    <t>Multan</t>
  </si>
  <si>
    <t>North</t>
  </si>
  <si>
    <t>Pending</t>
  </si>
  <si>
    <t>ORD-10002</t>
  </si>
  <si>
    <t>31-Aug-2023</t>
  </si>
  <si>
    <t>05 September 2023</t>
  </si>
  <si>
    <t>Ali</t>
  </si>
  <si>
    <t>Karachi</t>
  </si>
  <si>
    <t>South</t>
  </si>
  <si>
    <t>Technology</t>
  </si>
  <si>
    <t>ORD-10003</t>
  </si>
  <si>
    <t xml:space="preserve"> 15/08/2024</t>
  </si>
  <si>
    <t>22/08/2024</t>
  </si>
  <si>
    <t>Ayesha</t>
  </si>
  <si>
    <t>Lahore</t>
  </si>
  <si>
    <t>Delivered</t>
  </si>
  <si>
    <t>ORD-10004</t>
  </si>
  <si>
    <t>11/04/2024</t>
  </si>
  <si>
    <t>13/04/2024 18:00</t>
  </si>
  <si>
    <t>Office Supplies</t>
  </si>
  <si>
    <t>ORD-10005</t>
  </si>
  <si>
    <t>2025-03-16 08:19</t>
  </si>
  <si>
    <t>23-Mar-2025 08:19</t>
  </si>
  <si>
    <t>Sara</t>
  </si>
  <si>
    <t>ORD-10006</t>
  </si>
  <si>
    <t>06/12/2023 18:39</t>
  </si>
  <si>
    <t>08-Dec-2023</t>
  </si>
  <si>
    <t>Zara</t>
  </si>
  <si>
    <t>ORD-10007</t>
  </si>
  <si>
    <t>2023-09-16</t>
  </si>
  <si>
    <t xml:space="preserve">26 September 2023 </t>
  </si>
  <si>
    <t xml:space="preserve">Sara  </t>
  </si>
  <si>
    <t>ORD-10008</t>
  </si>
  <si>
    <t xml:space="preserve"> 03 January 2024</t>
  </si>
  <si>
    <t xml:space="preserve">09/01/2024 12:42 </t>
  </si>
  <si>
    <t>karachi</t>
  </si>
  <si>
    <t>ORD-10009</t>
  </si>
  <si>
    <t xml:space="preserve"> 2024-10-22</t>
  </si>
  <si>
    <t>10-30-2024</t>
  </si>
  <si>
    <t xml:space="preserve">Ayesha  </t>
  </si>
  <si>
    <t>faisalabad</t>
  </si>
  <si>
    <t>ORD-10010</t>
  </si>
  <si>
    <t>2023-04-23</t>
  </si>
  <si>
    <t>04-25-2023 14:04</t>
  </si>
  <si>
    <t>islamabad</t>
  </si>
  <si>
    <t>ORD-10011</t>
  </si>
  <si>
    <t xml:space="preserve"> 10-Apr-2025 17:40</t>
  </si>
  <si>
    <t>17-Apr-2025</t>
  </si>
  <si>
    <t>ORD-10012</t>
  </si>
  <si>
    <t>31/01/2023</t>
  </si>
  <si>
    <t>05/02/2023 00:11</t>
  </si>
  <si>
    <t xml:space="preserve"> ORD-10013 </t>
  </si>
  <si>
    <t xml:space="preserve"> 27/03/2023 </t>
  </si>
  <si>
    <t>04-06-2023 16:31</t>
  </si>
  <si>
    <t>ORD-10014</t>
  </si>
  <si>
    <t>25/01/2025</t>
  </si>
  <si>
    <t>2025-02-02 01:22</t>
  </si>
  <si>
    <t xml:space="preserve">Usman  </t>
  </si>
  <si>
    <t xml:space="preserve"> ORD-10015 </t>
  </si>
  <si>
    <t>03-25-2024 15:40</t>
  </si>
  <si>
    <t>04-04-2024</t>
  </si>
  <si>
    <t>ORD-10016</t>
  </si>
  <si>
    <t>2024-05-16 01:24</t>
  </si>
  <si>
    <t>05-23-2024</t>
  </si>
  <si>
    <t>Faisalabad</t>
  </si>
  <si>
    <t>ORD-10017</t>
  </si>
  <si>
    <t>01 November 2023</t>
  </si>
  <si>
    <t>08/11/2023</t>
  </si>
  <si>
    <t>ORD-10018</t>
  </si>
  <si>
    <t xml:space="preserve"> 2025-02-26</t>
  </si>
  <si>
    <t xml:space="preserve"> 27/02/2025</t>
  </si>
  <si>
    <t>ORD-10019</t>
  </si>
  <si>
    <t>2025-03-16 23:28</t>
  </si>
  <si>
    <t>2025-03-23 23:28</t>
  </si>
  <si>
    <t>ORD-10020</t>
  </si>
  <si>
    <t>2025-04-10 05:05</t>
  </si>
  <si>
    <t xml:space="preserve">15/04/2025 </t>
  </si>
  <si>
    <t>lahore</t>
  </si>
  <si>
    <t>ORD-10021</t>
  </si>
  <si>
    <t>07 April 2025 10:59</t>
  </si>
  <si>
    <t xml:space="preserve"> 04-16-2025 10:59</t>
  </si>
  <si>
    <t>Usman</t>
  </si>
  <si>
    <t>ORD-10022</t>
  </si>
  <si>
    <t>17 February 2024</t>
  </si>
  <si>
    <t>ORD-10023</t>
  </si>
  <si>
    <t>08 July 2024</t>
  </si>
  <si>
    <t>John</t>
  </si>
  <si>
    <t>ORD-10024</t>
  </si>
  <si>
    <t>06/01/2024</t>
  </si>
  <si>
    <t xml:space="preserve"> 2024-01-14 22:13</t>
  </si>
  <si>
    <t>Fatima</t>
  </si>
  <si>
    <t>ORD-10025</t>
  </si>
  <si>
    <t>05-Apr-2024</t>
  </si>
  <si>
    <t>2024-04-12 11:54</t>
  </si>
  <si>
    <t>ORD-10026</t>
  </si>
  <si>
    <t xml:space="preserve"> 16/03/2023</t>
  </si>
  <si>
    <t>24/03/2023</t>
  </si>
  <si>
    <t>ORD-10027</t>
  </si>
  <si>
    <t>09-Apr-2025</t>
  </si>
  <si>
    <t>04-18-2025</t>
  </si>
  <si>
    <t>ORD-10028</t>
  </si>
  <si>
    <t>26/05/2024</t>
  </si>
  <si>
    <t>03/06/2024</t>
  </si>
  <si>
    <t>ORD-10029</t>
  </si>
  <si>
    <t>12-May-2024</t>
  </si>
  <si>
    <t>2024-05-18 12:45</t>
  </si>
  <si>
    <t>ORD-10030</t>
  </si>
  <si>
    <t>29-Mar-2024</t>
  </si>
  <si>
    <t>04-03-2024 10:14</t>
  </si>
  <si>
    <t>ORD-10031</t>
  </si>
  <si>
    <t xml:space="preserve"> 04-18-2024</t>
  </si>
  <si>
    <t>2024-04-28</t>
  </si>
  <si>
    <t xml:space="preserve"> ORD-10032 </t>
  </si>
  <si>
    <t>18 November 2024</t>
  </si>
  <si>
    <t>28 November 2024</t>
  </si>
  <si>
    <t xml:space="preserve"> ORD-10033 </t>
  </si>
  <si>
    <t>13/01/2025</t>
  </si>
  <si>
    <t xml:space="preserve">22-Jan-2025 </t>
  </si>
  <si>
    <t>ORD-10034</t>
  </si>
  <si>
    <t>2025-02-25 10:45</t>
  </si>
  <si>
    <t>2025-03-05 10:45</t>
  </si>
  <si>
    <t>multan</t>
  </si>
  <si>
    <t xml:space="preserve"> ORD-10035 </t>
  </si>
  <si>
    <t>03/05/2025 01:32</t>
  </si>
  <si>
    <t>05-10-2025</t>
  </si>
  <si>
    <t>ORD-10036</t>
  </si>
  <si>
    <t xml:space="preserve"> 03-09-2025 11:09</t>
  </si>
  <si>
    <t xml:space="preserve"> 03-17-2025 </t>
  </si>
  <si>
    <t xml:space="preserve"> ORD-10037 </t>
  </si>
  <si>
    <t>07 May 2024</t>
  </si>
  <si>
    <t>09 May 2024 06:43</t>
  </si>
  <si>
    <t>ORD-10038</t>
  </si>
  <si>
    <t>06-21-2023</t>
  </si>
  <si>
    <t>23/06/2023</t>
  </si>
  <si>
    <t xml:space="preserve"> ORD-10039 </t>
  </si>
  <si>
    <t>02 June 2025</t>
  </si>
  <si>
    <t>2025-06-07</t>
  </si>
  <si>
    <t xml:space="preserve"> ORD-10040 </t>
  </si>
  <si>
    <t>2025-05-12 13:22</t>
  </si>
  <si>
    <t>2025-05-19</t>
  </si>
  <si>
    <t xml:space="preserve"> ORD-10041 </t>
  </si>
  <si>
    <t>04-Jan-2025</t>
  </si>
  <si>
    <t>13-Jan-2025</t>
  </si>
  <si>
    <t>ORD-10042</t>
  </si>
  <si>
    <t xml:space="preserve">21 January 2023 </t>
  </si>
  <si>
    <t>28-Jan-2023</t>
  </si>
  <si>
    <t xml:space="preserve"> ORD-10043 </t>
  </si>
  <si>
    <t xml:space="preserve"> 09-Jun-2023 19:41</t>
  </si>
  <si>
    <t>17-Jun-2023</t>
  </si>
  <si>
    <t>ORD-10044</t>
  </si>
  <si>
    <t>2024-12-04</t>
  </si>
  <si>
    <t>2024-12-07</t>
  </si>
  <si>
    <t>ORD-10045</t>
  </si>
  <si>
    <t>05-31-2025</t>
  </si>
  <si>
    <t>10-Jun-2025</t>
  </si>
  <si>
    <t xml:space="preserve"> ORD-10046 </t>
  </si>
  <si>
    <t>01/01/2025</t>
  </si>
  <si>
    <t>10-Jan-2025</t>
  </si>
  <si>
    <t>ORD-10047</t>
  </si>
  <si>
    <t>10 September 2024 14:40</t>
  </si>
  <si>
    <t>09-15-2024</t>
  </si>
  <si>
    <t>ORD-10048</t>
  </si>
  <si>
    <t>2024-12-11</t>
  </si>
  <si>
    <t>12-19-2024</t>
  </si>
  <si>
    <t xml:space="preserve"> ORD-10049 </t>
  </si>
  <si>
    <t>03-20-2023 06:33</t>
  </si>
  <si>
    <t xml:space="preserve"> 2023-03-28</t>
  </si>
  <si>
    <t xml:space="preserve"> ORD-10050 </t>
  </si>
  <si>
    <t>15 April 2023</t>
  </si>
  <si>
    <t>04-21-2023 14:33</t>
  </si>
  <si>
    <t>ORD-10051</t>
  </si>
  <si>
    <t>03-25-2024 18:02</t>
  </si>
  <si>
    <t>27/03/2024</t>
  </si>
  <si>
    <t xml:space="preserve"> ORD-10052 </t>
  </si>
  <si>
    <t>29/04/2025</t>
  </si>
  <si>
    <t>01 May 2025</t>
  </si>
  <si>
    <t>ORD-10053</t>
  </si>
  <si>
    <t>05-Sep-2023</t>
  </si>
  <si>
    <t>ORD-10054</t>
  </si>
  <si>
    <t>2025-02-16 03:30</t>
  </si>
  <si>
    <t xml:space="preserve">Ahmed  </t>
  </si>
  <si>
    <t>ORD-10055</t>
  </si>
  <si>
    <t>13/04/2024</t>
  </si>
  <si>
    <t>2024-04-19</t>
  </si>
  <si>
    <t>ORD-10056</t>
  </si>
  <si>
    <t>2024-09-23</t>
  </si>
  <si>
    <t>30-Sep-2024 13:09</t>
  </si>
  <si>
    <t>ORD-10057</t>
  </si>
  <si>
    <t>12-26-2023</t>
  </si>
  <si>
    <t>29 December 2023</t>
  </si>
  <si>
    <t xml:space="preserve"> ORD-10058 </t>
  </si>
  <si>
    <t>06-Apr-2024</t>
  </si>
  <si>
    <t>13-Apr-2024</t>
  </si>
  <si>
    <t>ORD-10059</t>
  </si>
  <si>
    <t>15/01/2024</t>
  </si>
  <si>
    <t xml:space="preserve"> 01-24-2024</t>
  </si>
  <si>
    <t xml:space="preserve"> ORD-10060 </t>
  </si>
  <si>
    <t>08-Apr-2023 08:43</t>
  </si>
  <si>
    <t>10/04/2023</t>
  </si>
  <si>
    <t>ORD-10061</t>
  </si>
  <si>
    <t xml:space="preserve"> 09-15-2024</t>
  </si>
  <si>
    <t>21 September 2024</t>
  </si>
  <si>
    <t>ORD-10062</t>
  </si>
  <si>
    <t>01/03/2024 18:33</t>
  </si>
  <si>
    <t xml:space="preserve">04-Mar-2024 18:33 </t>
  </si>
  <si>
    <t xml:space="preserve"> ORD-10063 </t>
  </si>
  <si>
    <t>22/12/2024</t>
  </si>
  <si>
    <t>ORD-10064</t>
  </si>
  <si>
    <t>2024-05-09</t>
  </si>
  <si>
    <t>12 May 2024</t>
  </si>
  <si>
    <t xml:space="preserve"> ORD-10065 </t>
  </si>
  <si>
    <t>15-Jan-2023</t>
  </si>
  <si>
    <t xml:space="preserve">21-Jan-2023 13:48 </t>
  </si>
  <si>
    <t xml:space="preserve"> ORD-10066 </t>
  </si>
  <si>
    <t>2023-12-21 03:18</t>
  </si>
  <si>
    <t>2023-12-31</t>
  </si>
  <si>
    <t>ORD-10067</t>
  </si>
  <si>
    <t>06 October 2023</t>
  </si>
  <si>
    <t>10-13-2023 15:36</t>
  </si>
  <si>
    <t>ORD-10068</t>
  </si>
  <si>
    <t>23/07/2024 19:55</t>
  </si>
  <si>
    <t>28-Jul-2024 19:55</t>
  </si>
  <si>
    <t>ORD-10069</t>
  </si>
  <si>
    <t xml:space="preserve"> 28 October 2023 16:56</t>
  </si>
  <si>
    <t>07-Nov-2023</t>
  </si>
  <si>
    <t>ORD-10070</t>
  </si>
  <si>
    <t>08 August 2023</t>
  </si>
  <si>
    <t>11 August 2023 17:38</t>
  </si>
  <si>
    <t>ORD-10071</t>
  </si>
  <si>
    <t>25/08/2024</t>
  </si>
  <si>
    <t>29-Aug-2024</t>
  </si>
  <si>
    <t xml:space="preserve">Ali  </t>
  </si>
  <si>
    <t>ORD-10072</t>
  </si>
  <si>
    <t>01/06/2024</t>
  </si>
  <si>
    <t>2024-06-08</t>
  </si>
  <si>
    <t xml:space="preserve"> ORD-10073 </t>
  </si>
  <si>
    <t>2025-05-13</t>
  </si>
  <si>
    <t xml:space="preserve">2025-05-22 </t>
  </si>
  <si>
    <t>ORD-10074</t>
  </si>
  <si>
    <t>01-26-2023</t>
  </si>
  <si>
    <t>2023-01-30</t>
  </si>
  <si>
    <t>ORD-10075</t>
  </si>
  <si>
    <t>22/06/2023 20:17</t>
  </si>
  <si>
    <t>01 July 2023 20:17</t>
  </si>
  <si>
    <t xml:space="preserve"> ORD-10076 </t>
  </si>
  <si>
    <t>2023-08-29</t>
  </si>
  <si>
    <t>09-02-2023</t>
  </si>
  <si>
    <t xml:space="preserve">Zara  </t>
  </si>
  <si>
    <t xml:space="preserve"> ORD-10077 </t>
  </si>
  <si>
    <t>01/01/2024</t>
  </si>
  <si>
    <t>ORD-10078</t>
  </si>
  <si>
    <t>2024-04-05</t>
  </si>
  <si>
    <t>13 April 2024 07:22</t>
  </si>
  <si>
    <t>ORD-10079</t>
  </si>
  <si>
    <t>31/01/2025</t>
  </si>
  <si>
    <t>ORD-10080</t>
  </si>
  <si>
    <t>12-06-2023</t>
  </si>
  <si>
    <t>14 December 2023</t>
  </si>
  <si>
    <t>ORD-10081</t>
  </si>
  <si>
    <t>01-25-2025 16:45</t>
  </si>
  <si>
    <t>31-Jan-2025 16:45</t>
  </si>
  <si>
    <t xml:space="preserve"> ORD-10082 </t>
  </si>
  <si>
    <t>17-Dec-2024</t>
  </si>
  <si>
    <t>23/12/2024</t>
  </si>
  <si>
    <t>ORD-10083</t>
  </si>
  <si>
    <t>22 October 2023</t>
  </si>
  <si>
    <t>26 October 2023</t>
  </si>
  <si>
    <t>ORD-10084</t>
  </si>
  <si>
    <t xml:space="preserve"> 01-20-2023 </t>
  </si>
  <si>
    <t>ORD-10085</t>
  </si>
  <si>
    <t xml:space="preserve"> 01 October 2023 20:40</t>
  </si>
  <si>
    <t>10-10-2023 20:40</t>
  </si>
  <si>
    <t xml:space="preserve"> ORD-10086 </t>
  </si>
  <si>
    <t>18 April 2023</t>
  </si>
  <si>
    <t xml:space="preserve">22 April 2023 15:11 </t>
  </si>
  <si>
    <t>ORD-10087</t>
  </si>
  <si>
    <t xml:space="preserve"> 08/05/2025</t>
  </si>
  <si>
    <t xml:space="preserve"> 10/05/2025 06:56</t>
  </si>
  <si>
    <t>ORD-10088</t>
  </si>
  <si>
    <t>2025-05-05</t>
  </si>
  <si>
    <t>06 May 2025</t>
  </si>
  <si>
    <t xml:space="preserve"> ORD-10089 </t>
  </si>
  <si>
    <t xml:space="preserve"> 2023-08-22 00:14</t>
  </si>
  <si>
    <t>2023-08-26</t>
  </si>
  <si>
    <t>ORD-10090</t>
  </si>
  <si>
    <t>27 June 2024</t>
  </si>
  <si>
    <t>28/06/2024</t>
  </si>
  <si>
    <t>ORD-10091</t>
  </si>
  <si>
    <t>01-09-2024 16:12</t>
  </si>
  <si>
    <t>2024-01-16</t>
  </si>
  <si>
    <t>ORD-10092</t>
  </si>
  <si>
    <t>2023-06-18</t>
  </si>
  <si>
    <t>26 June 2023 23:57</t>
  </si>
  <si>
    <t>ORD-10093</t>
  </si>
  <si>
    <t>01-Nov-2024</t>
  </si>
  <si>
    <t>02-Nov-2024 19:20</t>
  </si>
  <si>
    <t xml:space="preserve"> ORD-10094 </t>
  </si>
  <si>
    <t xml:space="preserve">08 December 2023 00:46 </t>
  </si>
  <si>
    <t>12-16-2023</t>
  </si>
  <si>
    <t>ORD-10095</t>
  </si>
  <si>
    <t>15 September 2024 22:48</t>
  </si>
  <si>
    <t>19-Sep-2024</t>
  </si>
  <si>
    <t xml:space="preserve"> ORD-10096 </t>
  </si>
  <si>
    <t>03-31-2024</t>
  </si>
  <si>
    <t>07/04/2024 13:27</t>
  </si>
  <si>
    <t>ORD-10097</t>
  </si>
  <si>
    <t>08/11/2023 08:23</t>
  </si>
  <si>
    <t>17/11/2023</t>
  </si>
  <si>
    <t>ORD-10098</t>
  </si>
  <si>
    <t>03-14-2024 04:20</t>
  </si>
  <si>
    <t>2024-03-17</t>
  </si>
  <si>
    <t>ORD-10099</t>
  </si>
  <si>
    <t>04 July 2023 07:04</t>
  </si>
  <si>
    <t xml:space="preserve">05-Jul-2023 </t>
  </si>
  <si>
    <t>ORD-10100</t>
  </si>
  <si>
    <t>11-May-2024</t>
  </si>
  <si>
    <t xml:space="preserve"> ORD-10101 </t>
  </si>
  <si>
    <t>31 December 2024</t>
  </si>
  <si>
    <t>2025-01-05 20:23</t>
  </si>
  <si>
    <t>ORD-10102</t>
  </si>
  <si>
    <t>2023-06-17 06:17</t>
  </si>
  <si>
    <t xml:space="preserve">2023-06-22 06:17 </t>
  </si>
  <si>
    <t>ORD-10103</t>
  </si>
  <si>
    <t>12-12-2023 20:38</t>
  </si>
  <si>
    <t>ORD-10104</t>
  </si>
  <si>
    <t xml:space="preserve">2025-01-05 </t>
  </si>
  <si>
    <t>07-Jan-2025</t>
  </si>
  <si>
    <t>ORD-10105</t>
  </si>
  <si>
    <t>2024-02-11 16:16</t>
  </si>
  <si>
    <t>16/02/2024</t>
  </si>
  <si>
    <t>ORD-10106</t>
  </si>
  <si>
    <t>31-Mar-2023 00:55</t>
  </si>
  <si>
    <t>2023-04-01</t>
  </si>
  <si>
    <t>ORD-10107</t>
  </si>
  <si>
    <t>2025-04-25</t>
  </si>
  <si>
    <t>ORD-10108</t>
  </si>
  <si>
    <t xml:space="preserve"> 07-13-2023 13:49</t>
  </si>
  <si>
    <t>2023-07-22</t>
  </si>
  <si>
    <t>ORD-10109</t>
  </si>
  <si>
    <t xml:space="preserve">09 September 2023 </t>
  </si>
  <si>
    <t>2023-09-17</t>
  </si>
  <si>
    <t>ORD-10110</t>
  </si>
  <si>
    <t>22/09/2023</t>
  </si>
  <si>
    <t>24/09/2023</t>
  </si>
  <si>
    <t>ORD-10111</t>
  </si>
  <si>
    <t xml:space="preserve">04-26-2024 </t>
  </si>
  <si>
    <t>02/05/2024</t>
  </si>
  <si>
    <t>ORD-10112</t>
  </si>
  <si>
    <t xml:space="preserve"> 21/12/2023</t>
  </si>
  <si>
    <t>2023-12-28</t>
  </si>
  <si>
    <t>ORD-10113</t>
  </si>
  <si>
    <t>27-Jul-2024 09:48</t>
  </si>
  <si>
    <t>31/07/2024</t>
  </si>
  <si>
    <t xml:space="preserve">John  </t>
  </si>
  <si>
    <t xml:space="preserve"> ORD-10114 </t>
  </si>
  <si>
    <t xml:space="preserve"> 18 February 2025</t>
  </si>
  <si>
    <t>02-22-2025</t>
  </si>
  <si>
    <t>ORD-10115</t>
  </si>
  <si>
    <t>30/08/2024</t>
  </si>
  <si>
    <t>04/09/2024</t>
  </si>
  <si>
    <t xml:space="preserve"> ORD-10116 </t>
  </si>
  <si>
    <t>13-Sep-2024 01:01</t>
  </si>
  <si>
    <t>09-14-2024</t>
  </si>
  <si>
    <t>ORD-10117</t>
  </si>
  <si>
    <t>04/11/2024</t>
  </si>
  <si>
    <t>12 November 2024</t>
  </si>
  <si>
    <t xml:space="preserve"> ORD-10118 </t>
  </si>
  <si>
    <t>2024-06-24</t>
  </si>
  <si>
    <t xml:space="preserve">27/06/2024 </t>
  </si>
  <si>
    <t>ORD-10119</t>
  </si>
  <si>
    <t xml:space="preserve"> 12/04/2023 10:16</t>
  </si>
  <si>
    <t>2023-04-20</t>
  </si>
  <si>
    <t>ORD-10120</t>
  </si>
  <si>
    <t>27-Aug-2024 03:48</t>
  </si>
  <si>
    <t>02 September 2024 03:48</t>
  </si>
  <si>
    <t>ORD-10121</t>
  </si>
  <si>
    <t>12/06/2024</t>
  </si>
  <si>
    <t>2024-06-21</t>
  </si>
  <si>
    <t>ORD-10122</t>
  </si>
  <si>
    <t>17-Jun-2024</t>
  </si>
  <si>
    <t>06-25-2024 03:21</t>
  </si>
  <si>
    <t>ORD-10123</t>
  </si>
  <si>
    <t>2023-12-09</t>
  </si>
  <si>
    <t xml:space="preserve"> 12-10-2023 01:35</t>
  </si>
  <si>
    <t>ORD-10124</t>
  </si>
  <si>
    <t>2024-11-09</t>
  </si>
  <si>
    <t>10/11/2024</t>
  </si>
  <si>
    <t>ORD-10125</t>
  </si>
  <si>
    <t>29-Mar-2024 20:36</t>
  </si>
  <si>
    <t>02 April 2024</t>
  </si>
  <si>
    <t xml:space="preserve"> ORD-10126 </t>
  </si>
  <si>
    <t>30-Jul-2023 22:26</t>
  </si>
  <si>
    <t>03-Aug-2023</t>
  </si>
  <si>
    <t>ORD-10127</t>
  </si>
  <si>
    <t>08/10/2023</t>
  </si>
  <si>
    <t xml:space="preserve">18 October 2023 </t>
  </si>
  <si>
    <t>ORD-10128</t>
  </si>
  <si>
    <t>2023-10-26</t>
  </si>
  <si>
    <t xml:space="preserve">29 October 2023 12:32 </t>
  </si>
  <si>
    <t>ORD-10129</t>
  </si>
  <si>
    <t>20/03/2025</t>
  </si>
  <si>
    <t>23 March 2025</t>
  </si>
  <si>
    <t>ORD-10130</t>
  </si>
  <si>
    <t>09-Mar-2023</t>
  </si>
  <si>
    <t>03-17-2023 06:31</t>
  </si>
  <si>
    <t>ORD-10131</t>
  </si>
  <si>
    <t>07-10-2024 13:10</t>
  </si>
  <si>
    <t>17/07/2024</t>
  </si>
  <si>
    <t>ORD-10132</t>
  </si>
  <si>
    <t>12-04-2024</t>
  </si>
  <si>
    <t>12-05-2024</t>
  </si>
  <si>
    <t>ORD-10133</t>
  </si>
  <si>
    <t>2023-12-04 10:45</t>
  </si>
  <si>
    <t>11-Dec-2023</t>
  </si>
  <si>
    <t xml:space="preserve"> ORD-10134 </t>
  </si>
  <si>
    <t>14 October 2024</t>
  </si>
  <si>
    <t>17 October 2024 09:53</t>
  </si>
  <si>
    <t>ORD-10135</t>
  </si>
  <si>
    <t>27 October 2024 00:59</t>
  </si>
  <si>
    <t>04-Nov-2024</t>
  </si>
  <si>
    <t xml:space="preserve"> ORD-10136 </t>
  </si>
  <si>
    <t>06/06/2025</t>
  </si>
  <si>
    <t xml:space="preserve">13 June 2025 </t>
  </si>
  <si>
    <t xml:space="preserve"> ORD-10137 </t>
  </si>
  <si>
    <t xml:space="preserve">26 March 2024 </t>
  </si>
  <si>
    <t>27 March 2024</t>
  </si>
  <si>
    <t>ORD-10138</t>
  </si>
  <si>
    <t>13/02/2025 15:31</t>
  </si>
  <si>
    <t>20 February 2025</t>
  </si>
  <si>
    <t xml:space="preserve"> ORD-10139 </t>
  </si>
  <si>
    <t>2025-04-18</t>
  </si>
  <si>
    <t xml:space="preserve">26 April 2025 </t>
  </si>
  <si>
    <t>ORD-10140</t>
  </si>
  <si>
    <t>16-May-2023</t>
  </si>
  <si>
    <t>2023-05-23</t>
  </si>
  <si>
    <t xml:space="preserve"> ORD-10141 </t>
  </si>
  <si>
    <t>07/10/2024</t>
  </si>
  <si>
    <t>13 October 2024 19:39</t>
  </si>
  <si>
    <t xml:space="preserve"> ORD-10142 </t>
  </si>
  <si>
    <t xml:space="preserve"> 02-Feb-2025</t>
  </si>
  <si>
    <t>11 February 2025</t>
  </si>
  <si>
    <t>ORD-10143</t>
  </si>
  <si>
    <t>03-03-2023 11:37</t>
  </si>
  <si>
    <t xml:space="preserve">03-09-2023 </t>
  </si>
  <si>
    <t>ORD-10144</t>
  </si>
  <si>
    <t>2023-08-20</t>
  </si>
  <si>
    <t>27/08/2023</t>
  </si>
  <si>
    <t xml:space="preserve"> ORD-10145 </t>
  </si>
  <si>
    <t>01/11/2023</t>
  </si>
  <si>
    <t>05 November 2023</t>
  </si>
  <si>
    <t xml:space="preserve"> ORD-10146 </t>
  </si>
  <si>
    <t xml:space="preserve"> 07 January 2024 22:04</t>
  </si>
  <si>
    <t xml:space="preserve">2024-01-09 22:04 </t>
  </si>
  <si>
    <t>ORD-10147</t>
  </si>
  <si>
    <t>05-03-2025</t>
  </si>
  <si>
    <t>ORD-10148</t>
  </si>
  <si>
    <t>04-02-2023 21:27</t>
  </si>
  <si>
    <t>07-Apr-2023 21:27</t>
  </si>
  <si>
    <t>ORD-10149</t>
  </si>
  <si>
    <t>04-06-2024 07:49</t>
  </si>
  <si>
    <t>13 April 2024 07:49</t>
  </si>
  <si>
    <t>ORD-10150</t>
  </si>
  <si>
    <t>30/09/2023</t>
  </si>
  <si>
    <t>10-08-2023</t>
  </si>
  <si>
    <t>ORD-10151</t>
  </si>
  <si>
    <t>08-14-2024 05:05</t>
  </si>
  <si>
    <t>17-Aug-2024</t>
  </si>
  <si>
    <t xml:space="preserve"> ORD-10152 </t>
  </si>
  <si>
    <t>26/06/2024</t>
  </si>
  <si>
    <t>ORD-10153</t>
  </si>
  <si>
    <t xml:space="preserve">03-Oct-2024 </t>
  </si>
  <si>
    <t>2024-10-06</t>
  </si>
  <si>
    <t>ORD-10154</t>
  </si>
  <si>
    <t>2023-01-09 14:53</t>
  </si>
  <si>
    <t>10/01/2023</t>
  </si>
  <si>
    <t xml:space="preserve"> ORD-10155 </t>
  </si>
  <si>
    <t xml:space="preserve">12 November 2023 </t>
  </si>
  <si>
    <t>19-Nov-2023</t>
  </si>
  <si>
    <t xml:space="preserve"> ORD-10156 </t>
  </si>
  <si>
    <t xml:space="preserve">12-08-2024 </t>
  </si>
  <si>
    <t>12-17-2024</t>
  </si>
  <si>
    <t>ORD-10157</t>
  </si>
  <si>
    <t>28-Mar-2023</t>
  </si>
  <si>
    <t>04-03-2023</t>
  </si>
  <si>
    <t>ORD-10158</t>
  </si>
  <si>
    <t>01-01-2025</t>
  </si>
  <si>
    <t>01-11-2025 14:32</t>
  </si>
  <si>
    <t>ORD-10159</t>
  </si>
  <si>
    <t>06-30-2023</t>
  </si>
  <si>
    <t>2023-07-01 04:33</t>
  </si>
  <si>
    <t>ORD-10160</t>
  </si>
  <si>
    <t>25/10/2023</t>
  </si>
  <si>
    <t>10-27-2023 14:25</t>
  </si>
  <si>
    <t>ORD-10161</t>
  </si>
  <si>
    <t>2023-08-28</t>
  </si>
  <si>
    <t>05/09/2023</t>
  </si>
  <si>
    <t xml:space="preserve"> ORD-10162 </t>
  </si>
  <si>
    <t>04-09-2024 19:14</t>
  </si>
  <si>
    <t>11-Apr-2024 19:14</t>
  </si>
  <si>
    <t>ORD-10163</t>
  </si>
  <si>
    <t xml:space="preserve">23 September 2024 11:37 </t>
  </si>
  <si>
    <t>2024-09-24</t>
  </si>
  <si>
    <t xml:space="preserve"> ORD-10164 </t>
  </si>
  <si>
    <t>2023-05-19</t>
  </si>
  <si>
    <t>05-25-2023</t>
  </si>
  <si>
    <t>ORD-10165</t>
  </si>
  <si>
    <t>08-27-2024</t>
  </si>
  <si>
    <t>2024-08-29</t>
  </si>
  <si>
    <t>ORD-10166</t>
  </si>
  <si>
    <t>23/10/2023</t>
  </si>
  <si>
    <t>24-Oct-2023</t>
  </si>
  <si>
    <t>ORD-10167</t>
  </si>
  <si>
    <t>04-07-2025</t>
  </si>
  <si>
    <t>2025-04-16</t>
  </si>
  <si>
    <t>ORD-10168</t>
  </si>
  <si>
    <t>03-Jun-2025 23:48</t>
  </si>
  <si>
    <t>04 June 2025</t>
  </si>
  <si>
    <t xml:space="preserve"> ORD-10169 </t>
  </si>
  <si>
    <t>03-19-2023 03:53</t>
  </si>
  <si>
    <t>21-Mar-2023 03:53</t>
  </si>
  <si>
    <t>ORD-10170</t>
  </si>
  <si>
    <t>13 November 2024</t>
  </si>
  <si>
    <t>20/11/2024</t>
  </si>
  <si>
    <t xml:space="preserve"> ORD-10171 </t>
  </si>
  <si>
    <t>04 February 2025</t>
  </si>
  <si>
    <t>07/02/2025</t>
  </si>
  <si>
    <t>ORD-10172</t>
  </si>
  <si>
    <t>2023-08-18</t>
  </si>
  <si>
    <t>ORD-10173</t>
  </si>
  <si>
    <t>2023-03-20</t>
  </si>
  <si>
    <t>24 March 2023 12:01</t>
  </si>
  <si>
    <t>ORD-10174</t>
  </si>
  <si>
    <t>02 March 2025</t>
  </si>
  <si>
    <t xml:space="preserve">12-Mar-2025 </t>
  </si>
  <si>
    <t>ORD-10175</t>
  </si>
  <si>
    <t xml:space="preserve"> 2024-05-31</t>
  </si>
  <si>
    <t>04 June 2024 15:45</t>
  </si>
  <si>
    <t xml:space="preserve"> ORD-10176 </t>
  </si>
  <si>
    <t>05/06/2024</t>
  </si>
  <si>
    <t xml:space="preserve"> 06 June 2024</t>
  </si>
  <si>
    <t>ORD-10177</t>
  </si>
  <si>
    <t xml:space="preserve"> 11-Oct-2023</t>
  </si>
  <si>
    <t>10-13-2023</t>
  </si>
  <si>
    <t>ORD-10178</t>
  </si>
  <si>
    <t>28 February 2024</t>
  </si>
  <si>
    <t>04-Mar-2024</t>
  </si>
  <si>
    <t>ORD-10179</t>
  </si>
  <si>
    <t xml:space="preserve"> 05-11-2023 01:21</t>
  </si>
  <si>
    <t xml:space="preserve">21-May-2023 </t>
  </si>
  <si>
    <t>ORD-10180</t>
  </si>
  <si>
    <t>05-26-2024 21:03</t>
  </si>
  <si>
    <t>ORD-10181</t>
  </si>
  <si>
    <t xml:space="preserve">2024-05-15 </t>
  </si>
  <si>
    <t>16-May-2024</t>
  </si>
  <si>
    <t xml:space="preserve"> ORD-10182 </t>
  </si>
  <si>
    <t xml:space="preserve"> 17/12/2023</t>
  </si>
  <si>
    <t>2023-12-25</t>
  </si>
  <si>
    <t>ORD-10183</t>
  </si>
  <si>
    <t>08-Jan-2023</t>
  </si>
  <si>
    <t>14/01/2023</t>
  </si>
  <si>
    <t xml:space="preserve"> ORD-10184 </t>
  </si>
  <si>
    <t xml:space="preserve">2023-10-13 </t>
  </si>
  <si>
    <t>20-Oct-2023</t>
  </si>
  <si>
    <t xml:space="preserve"> ORD-10185 </t>
  </si>
  <si>
    <t>10-24-2024 21:53</t>
  </si>
  <si>
    <t>ORD-10186</t>
  </si>
  <si>
    <t>03 May 2023</t>
  </si>
  <si>
    <t>05-05-2023</t>
  </si>
  <si>
    <t>ORD-10187</t>
  </si>
  <si>
    <t>21/05/2025</t>
  </si>
  <si>
    <t>31 May 2025</t>
  </si>
  <si>
    <t>ORD-10188</t>
  </si>
  <si>
    <t>10-23-2023 08:17</t>
  </si>
  <si>
    <t>25 October 2023</t>
  </si>
  <si>
    <t>ORD-10189</t>
  </si>
  <si>
    <t xml:space="preserve">01 December 2024 </t>
  </si>
  <si>
    <t>ORD-10190</t>
  </si>
  <si>
    <t>22 May 2023 10:48</t>
  </si>
  <si>
    <t>26-May-2023</t>
  </si>
  <si>
    <t>ORD-10191</t>
  </si>
  <si>
    <t>29-Nov-2023</t>
  </si>
  <si>
    <t>01/12/2023 07:43</t>
  </si>
  <si>
    <t xml:space="preserve"> ORD-10192 </t>
  </si>
  <si>
    <t>2024-10-17</t>
  </si>
  <si>
    <t>21/10/2024</t>
  </si>
  <si>
    <t>ORD-10193</t>
  </si>
  <si>
    <t>2024-06-27</t>
  </si>
  <si>
    <t>05 July 2024 09:29</t>
  </si>
  <si>
    <t xml:space="preserve"> ORD-10194 </t>
  </si>
  <si>
    <t>2025-02-26 01:06</t>
  </si>
  <si>
    <t>03-08-2025 01:06</t>
  </si>
  <si>
    <t xml:space="preserve"> ORD-10195 </t>
  </si>
  <si>
    <t>03-16-2024</t>
  </si>
  <si>
    <t>ORD-10196</t>
  </si>
  <si>
    <t xml:space="preserve"> 18-Jan-2024 09:22</t>
  </si>
  <si>
    <t>24 January 2024</t>
  </si>
  <si>
    <t>ORD-10197</t>
  </si>
  <si>
    <t>06/04/2023</t>
  </si>
  <si>
    <t>11/04/2023</t>
  </si>
  <si>
    <t>ORD-10198</t>
  </si>
  <si>
    <t>08/02/2024</t>
  </si>
  <si>
    <t>ORD-10199</t>
  </si>
  <si>
    <t>03-03-2024</t>
  </si>
  <si>
    <t xml:space="preserve">03-12-2024 </t>
  </si>
  <si>
    <t xml:space="preserve"> ORD-10200 </t>
  </si>
  <si>
    <t>07 February 2023 03:32</t>
  </si>
  <si>
    <t>17-Feb-2023</t>
  </si>
  <si>
    <t>ORD-10201</t>
  </si>
  <si>
    <t>02 October 2023</t>
  </si>
  <si>
    <t>10-Oct-2023</t>
  </si>
  <si>
    <t xml:space="preserve"> ORD-10202 </t>
  </si>
  <si>
    <t xml:space="preserve">02-Jul-2023 23:41 </t>
  </si>
  <si>
    <t>07-04-2023</t>
  </si>
  <si>
    <t>ORD-10203</t>
  </si>
  <si>
    <t>27/07/2024</t>
  </si>
  <si>
    <t>29-Jul-2024</t>
  </si>
  <si>
    <t>ORD-10204</t>
  </si>
  <si>
    <t>29 March 2023 02:24</t>
  </si>
  <si>
    <t>2023-04-04</t>
  </si>
  <si>
    <t>ORD-10205</t>
  </si>
  <si>
    <t xml:space="preserve">12-31-2023 12:46 </t>
  </si>
  <si>
    <t>01-02-2024 12:46</t>
  </si>
  <si>
    <t xml:space="preserve"> ORD-10206 </t>
  </si>
  <si>
    <t xml:space="preserve">14-Feb-2024 09:14 </t>
  </si>
  <si>
    <t>17-Feb-2024</t>
  </si>
  <si>
    <t xml:space="preserve"> ORD-10207 </t>
  </si>
  <si>
    <t xml:space="preserve"> 01-05-2023</t>
  </si>
  <si>
    <t>ORD-10208</t>
  </si>
  <si>
    <t>09/03/2025 04:19</t>
  </si>
  <si>
    <t xml:space="preserve"> 16/03/2025</t>
  </si>
  <si>
    <t xml:space="preserve"> ORD-10209 </t>
  </si>
  <si>
    <t>12-08-2024 04:04</t>
  </si>
  <si>
    <t>11 December 2024</t>
  </si>
  <si>
    <t xml:space="preserve"> ORD-10210 </t>
  </si>
  <si>
    <t>06-06-2025</t>
  </si>
  <si>
    <t>13-Jun-2025</t>
  </si>
  <si>
    <t>ORD-10211</t>
  </si>
  <si>
    <t xml:space="preserve">2023-10-05 20:45 </t>
  </si>
  <si>
    <t>13-Oct-2023 20:45</t>
  </si>
  <si>
    <t>ORD-10212</t>
  </si>
  <si>
    <t>05-14-2023 08:37</t>
  </si>
  <si>
    <t>18-May-2023</t>
  </si>
  <si>
    <t>ORD-10213</t>
  </si>
  <si>
    <t>30-Apr-2025</t>
  </si>
  <si>
    <t>03 May 2025</t>
  </si>
  <si>
    <t>ORD-10214</t>
  </si>
  <si>
    <t>30-Jan-2023 09:44</t>
  </si>
  <si>
    <t xml:space="preserve">08 February 2023 </t>
  </si>
  <si>
    <t>ORD-10215</t>
  </si>
  <si>
    <t>2024-01-12 11:13</t>
  </si>
  <si>
    <t>22 January 2024</t>
  </si>
  <si>
    <t xml:space="preserve"> ORD-10216 </t>
  </si>
  <si>
    <t>02/03/2023</t>
  </si>
  <si>
    <t>07-Mar-2023 22:06</t>
  </si>
  <si>
    <t>ORD-10217</t>
  </si>
  <si>
    <t>11/03/2023 00:54</t>
  </si>
  <si>
    <t xml:space="preserve"> ORD-10218 </t>
  </si>
  <si>
    <t xml:space="preserve"> 16/12/2024</t>
  </si>
  <si>
    <t>12-20-2024</t>
  </si>
  <si>
    <t>ORD-10219</t>
  </si>
  <si>
    <t xml:space="preserve"> 19 February 2024 03:20</t>
  </si>
  <si>
    <t>02-25-2024</t>
  </si>
  <si>
    <t>ORD-10220</t>
  </si>
  <si>
    <t>25 June 2023</t>
  </si>
  <si>
    <t xml:space="preserve"> ORD-10221 </t>
  </si>
  <si>
    <t xml:space="preserve">07 October 2024 08:34 </t>
  </si>
  <si>
    <t>08-Oct-2024</t>
  </si>
  <si>
    <t>ORD-10222</t>
  </si>
  <si>
    <t xml:space="preserve"> 27-Aug-2023</t>
  </si>
  <si>
    <t>04/09/2023</t>
  </si>
  <si>
    <t>ORD-10223</t>
  </si>
  <si>
    <t>2023-01-23</t>
  </si>
  <si>
    <t>ORD-10224</t>
  </si>
  <si>
    <t>2023-01-04</t>
  </si>
  <si>
    <t>05/01/2023</t>
  </si>
  <si>
    <t xml:space="preserve"> ORD-10225 </t>
  </si>
  <si>
    <t>2024-12-30</t>
  </si>
  <si>
    <t xml:space="preserve"> ORD-10226 </t>
  </si>
  <si>
    <t>12 April 2023</t>
  </si>
  <si>
    <t>17 April 2023</t>
  </si>
  <si>
    <t xml:space="preserve"> ORD-10227 </t>
  </si>
  <si>
    <t>10/11/2023</t>
  </si>
  <si>
    <t xml:space="preserve">19 November 2023 21:10 </t>
  </si>
  <si>
    <t>ORD-10228</t>
  </si>
  <si>
    <t>2025-02-20 18:02</t>
  </si>
  <si>
    <t>28-Feb-2025</t>
  </si>
  <si>
    <t>ORD-10229</t>
  </si>
  <si>
    <t>2025-04-12 23:02</t>
  </si>
  <si>
    <t>04-19-2025</t>
  </si>
  <si>
    <t xml:space="preserve"> ORD-10230 </t>
  </si>
  <si>
    <t>15-Aug-2024</t>
  </si>
  <si>
    <t xml:space="preserve"> 21/08/2024 </t>
  </si>
  <si>
    <t>ORD-10231</t>
  </si>
  <si>
    <t>2023-03-06</t>
  </si>
  <si>
    <t>14-Mar-2023 22:12</t>
  </si>
  <si>
    <t>ORD-10232</t>
  </si>
  <si>
    <t>06-Sep-2024</t>
  </si>
  <si>
    <t>09-09-2024</t>
  </si>
  <si>
    <t xml:space="preserve"> ORD-10233 </t>
  </si>
  <si>
    <t xml:space="preserve"> 17 October 2023</t>
  </si>
  <si>
    <t xml:space="preserve"> 27 October 2023</t>
  </si>
  <si>
    <t>ORD-10234</t>
  </si>
  <si>
    <t xml:space="preserve"> 2025-01-11 10:13</t>
  </si>
  <si>
    <t>2025-01-13</t>
  </si>
  <si>
    <t>ORD-10235</t>
  </si>
  <si>
    <t>28-Jan-2023 21:38</t>
  </si>
  <si>
    <t>03-Feb-2023</t>
  </si>
  <si>
    <t>ORD-10236</t>
  </si>
  <si>
    <t>08-21-2024</t>
  </si>
  <si>
    <t xml:space="preserve"> 22 August 2024</t>
  </si>
  <si>
    <t>ORD-10237</t>
  </si>
  <si>
    <t>07-Mar-2024</t>
  </si>
  <si>
    <t>03-13-2024</t>
  </si>
  <si>
    <t>ORD-10238</t>
  </si>
  <si>
    <t>01-Jun-2025</t>
  </si>
  <si>
    <t>2025-06-10</t>
  </si>
  <si>
    <t>ORD-10239</t>
  </si>
  <si>
    <t>06-21-2024 00:58</t>
  </si>
  <si>
    <t>2024-06-28</t>
  </si>
  <si>
    <t>ORD-10240</t>
  </si>
  <si>
    <t>05 October 2023</t>
  </si>
  <si>
    <t>12 October 2023</t>
  </si>
  <si>
    <t xml:space="preserve"> ORD-10241 </t>
  </si>
  <si>
    <t>05-06-2024</t>
  </si>
  <si>
    <t>ORD-10242</t>
  </si>
  <si>
    <t>2023-12-29</t>
  </si>
  <si>
    <t>05-Jan-2024</t>
  </si>
  <si>
    <t xml:space="preserve"> ORD-10243 </t>
  </si>
  <si>
    <t>04/06/2025</t>
  </si>
  <si>
    <t>06-14-2025 17:21</t>
  </si>
  <si>
    <t xml:space="preserve"> ORD-10244 </t>
  </si>
  <si>
    <t>01-21-2023</t>
  </si>
  <si>
    <t>01-30-2023 15:30</t>
  </si>
  <si>
    <t xml:space="preserve"> ORD-10245 </t>
  </si>
  <si>
    <t xml:space="preserve">01-01-2023 </t>
  </si>
  <si>
    <t>11-Jan-2023 13:56</t>
  </si>
  <si>
    <t>ORD-10246</t>
  </si>
  <si>
    <t>03/01/2023</t>
  </si>
  <si>
    <t>05 January 2023</t>
  </si>
  <si>
    <t>ORD-10247</t>
  </si>
  <si>
    <t>01-31-2024 16:56</t>
  </si>
  <si>
    <t>ORD-10248</t>
  </si>
  <si>
    <t>19 November 2024</t>
  </si>
  <si>
    <t>ORD-10249</t>
  </si>
  <si>
    <t>25-Jan-2024 19:27</t>
  </si>
  <si>
    <t>31-Jan-2024</t>
  </si>
  <si>
    <t>ORD-10250</t>
  </si>
  <si>
    <t>2025-01-09</t>
  </si>
  <si>
    <t>12 January 2025</t>
  </si>
  <si>
    <t>ORD-10251</t>
  </si>
  <si>
    <t>23/04/2024</t>
  </si>
  <si>
    <t>26 April 2024</t>
  </si>
  <si>
    <t>ORD-10252</t>
  </si>
  <si>
    <t>27 December 2024</t>
  </si>
  <si>
    <t>01-Jan-2025</t>
  </si>
  <si>
    <t>ORD-10253</t>
  </si>
  <si>
    <t>27 February 2024</t>
  </si>
  <si>
    <t>29-Feb-2024 07:00</t>
  </si>
  <si>
    <t>ORD-10254</t>
  </si>
  <si>
    <t>17/02/2025</t>
  </si>
  <si>
    <t xml:space="preserve"> 02-26-2025 11:12 </t>
  </si>
  <si>
    <t>ORD-10255</t>
  </si>
  <si>
    <t xml:space="preserve">03-07-2025 </t>
  </si>
  <si>
    <t>03-14-2025 08:16</t>
  </si>
  <si>
    <t>ORD-10256</t>
  </si>
  <si>
    <t>2023-10-20</t>
  </si>
  <si>
    <t>ORD-10257</t>
  </si>
  <si>
    <t>01-19-2023</t>
  </si>
  <si>
    <t xml:space="preserve">01-29-2023 </t>
  </si>
  <si>
    <t>ORD-10258</t>
  </si>
  <si>
    <t xml:space="preserve">05/07/2023 </t>
  </si>
  <si>
    <t>07-13-2023 01:41</t>
  </si>
  <si>
    <t>ORD-10259</t>
  </si>
  <si>
    <t>27 April 2025 01:31</t>
  </si>
  <si>
    <t>04-30-2025</t>
  </si>
  <si>
    <t xml:space="preserve"> ORD-10260 </t>
  </si>
  <si>
    <t>06-14-2023</t>
  </si>
  <si>
    <t>20 June 2023</t>
  </si>
  <si>
    <t>ORD-10261</t>
  </si>
  <si>
    <t>13 March 2023 14:59</t>
  </si>
  <si>
    <t xml:space="preserve"> 15-Mar-2023 </t>
  </si>
  <si>
    <t xml:space="preserve"> ORD-10262 </t>
  </si>
  <si>
    <t>09 May 2023</t>
  </si>
  <si>
    <t xml:space="preserve"> 13 May 2023 </t>
  </si>
  <si>
    <t>ORD-10263</t>
  </si>
  <si>
    <t>16/08/2024 15:38</t>
  </si>
  <si>
    <t>24/08/2024</t>
  </si>
  <si>
    <t>ORD-10264</t>
  </si>
  <si>
    <t>15 October 2024</t>
  </si>
  <si>
    <t xml:space="preserve"> 20-Oct-2024 08:13 </t>
  </si>
  <si>
    <t>ORD-10265</t>
  </si>
  <si>
    <t>17 January 2023</t>
  </si>
  <si>
    <t>18/01/2023</t>
  </si>
  <si>
    <t>ORD-10266</t>
  </si>
  <si>
    <t xml:space="preserve"> 26-Nov-2023</t>
  </si>
  <si>
    <t>06 December 2023</t>
  </si>
  <si>
    <t xml:space="preserve"> ORD-10267 </t>
  </si>
  <si>
    <t>06 May 2023</t>
  </si>
  <si>
    <t>09/05/2023</t>
  </si>
  <si>
    <t>ORD-10268</t>
  </si>
  <si>
    <t xml:space="preserve">26/11/2024 </t>
  </si>
  <si>
    <t>04 December 2024</t>
  </si>
  <si>
    <t>ORD-10269</t>
  </si>
  <si>
    <t>2023-08-31</t>
  </si>
  <si>
    <t>03/09/2023</t>
  </si>
  <si>
    <t>ORD-10270</t>
  </si>
  <si>
    <t>06-09-2023 01:39</t>
  </si>
  <si>
    <t>12-Jun-2023</t>
  </si>
  <si>
    <t>ORD-10271</t>
  </si>
  <si>
    <t>09/04/2023</t>
  </si>
  <si>
    <t>16/04/2023 08:42</t>
  </si>
  <si>
    <t xml:space="preserve"> ORD-10272 </t>
  </si>
  <si>
    <t>12 March 2024</t>
  </si>
  <si>
    <t>18-Mar-2024 02:36</t>
  </si>
  <si>
    <t>ORD-10273</t>
  </si>
  <si>
    <t>22-Jul-2023 12:00</t>
  </si>
  <si>
    <t>2023-07-30</t>
  </si>
  <si>
    <t>ORD-10274</t>
  </si>
  <si>
    <t>10/03/2024 23:56</t>
  </si>
  <si>
    <t>12/03/2024</t>
  </si>
  <si>
    <t xml:space="preserve"> ORD-10275 </t>
  </si>
  <si>
    <t>21/04/2024</t>
  </si>
  <si>
    <t xml:space="preserve">27 April 2024 </t>
  </si>
  <si>
    <t>ORD-10276</t>
  </si>
  <si>
    <t>22-Oct-2024</t>
  </si>
  <si>
    <t>28-Oct-2024 18:15</t>
  </si>
  <si>
    <t>ORD-10277</t>
  </si>
  <si>
    <t>11-20-2024</t>
  </si>
  <si>
    <t>22-Nov-2024 01:06</t>
  </si>
  <si>
    <t xml:space="preserve"> ORD-10278 </t>
  </si>
  <si>
    <t>01-18-2025</t>
  </si>
  <si>
    <t>20-Jan-2025 12:06</t>
  </si>
  <si>
    <t xml:space="preserve"> ORD-10279 </t>
  </si>
  <si>
    <t>16/01/2024 21:03</t>
  </si>
  <si>
    <t>2024-01-22 21:03</t>
  </si>
  <si>
    <t>ORD-10280</t>
  </si>
  <si>
    <t xml:space="preserve"> 08-Sep-2023 16:03</t>
  </si>
  <si>
    <t>10-Sep-2023</t>
  </si>
  <si>
    <t>ORD-10281</t>
  </si>
  <si>
    <t>26 March 2024</t>
  </si>
  <si>
    <t>03-31-2024 23:41</t>
  </si>
  <si>
    <t>ORD-10282</t>
  </si>
  <si>
    <t>03-01-2023</t>
  </si>
  <si>
    <t>06 March 2023</t>
  </si>
  <si>
    <t>ORD-10283</t>
  </si>
  <si>
    <t xml:space="preserve">2024-05-25 01:50 </t>
  </si>
  <si>
    <t>02 June 2024</t>
  </si>
  <si>
    <t>ORD-10284</t>
  </si>
  <si>
    <t>10-Nov-2024</t>
  </si>
  <si>
    <t>2024-11-16 08:05</t>
  </si>
  <si>
    <t>ORD-10285</t>
  </si>
  <si>
    <t xml:space="preserve">08-Mar-2024 </t>
  </si>
  <si>
    <t>2024-03-18</t>
  </si>
  <si>
    <t xml:space="preserve"> ORD-10286 </t>
  </si>
  <si>
    <t>23-Oct-2023</t>
  </si>
  <si>
    <t>2023-10-29</t>
  </si>
  <si>
    <t>ORD-10287</t>
  </si>
  <si>
    <t>06/03/2024</t>
  </si>
  <si>
    <t>2024-03-10</t>
  </si>
  <si>
    <t>ORD-10288</t>
  </si>
  <si>
    <t>04-05-2025</t>
  </si>
  <si>
    <t>10/04/2025</t>
  </si>
  <si>
    <t xml:space="preserve"> ORD-10289 </t>
  </si>
  <si>
    <t>02/01/2023</t>
  </si>
  <si>
    <t>04/01/2023</t>
  </si>
  <si>
    <t>ORD-10290</t>
  </si>
  <si>
    <t>29 April 2025 04:29</t>
  </si>
  <si>
    <t>ORD-10291</t>
  </si>
  <si>
    <t>11 July 2024</t>
  </si>
  <si>
    <t>ORD-10292</t>
  </si>
  <si>
    <t>19 April 2023</t>
  </si>
  <si>
    <t>2023-04-21</t>
  </si>
  <si>
    <t>ORD-10293</t>
  </si>
  <si>
    <t>29-Mar-2023</t>
  </si>
  <si>
    <t>04-02-2023</t>
  </si>
  <si>
    <t>ORD-10294</t>
  </si>
  <si>
    <t>02/05/2025</t>
  </si>
  <si>
    <t xml:space="preserve"> 12-May-2025</t>
  </si>
  <si>
    <t>ORD-10295</t>
  </si>
  <si>
    <t>15-Sep-2024</t>
  </si>
  <si>
    <t>2024-09-16</t>
  </si>
  <si>
    <t>ORD-10296</t>
  </si>
  <si>
    <t>26/02/2024 14:57</t>
  </si>
  <si>
    <t xml:space="preserve">29/02/2024 </t>
  </si>
  <si>
    <t>ORD-10297</t>
  </si>
  <si>
    <t>18/06/2025</t>
  </si>
  <si>
    <t>25-Jun-2025 12:54</t>
  </si>
  <si>
    <t xml:space="preserve"> ORD-10298 </t>
  </si>
  <si>
    <t>29 June 2024</t>
  </si>
  <si>
    <t>2024-07-05</t>
  </si>
  <si>
    <t xml:space="preserve"> ORD-10299 </t>
  </si>
  <si>
    <t>2024-03-20</t>
  </si>
  <si>
    <t>22 March 2024</t>
  </si>
  <si>
    <t>ORD-10300</t>
  </si>
  <si>
    <t xml:space="preserve"> 10-Oct-2024 21:56</t>
  </si>
  <si>
    <t>17-Oct-2024</t>
  </si>
  <si>
    <t xml:space="preserve"> ORD-10301 </t>
  </si>
  <si>
    <t>26/03/2023</t>
  </si>
  <si>
    <t>04-01-2023</t>
  </si>
  <si>
    <t xml:space="preserve"> ORD-10302 </t>
  </si>
  <si>
    <t>20 December 2024</t>
  </si>
  <si>
    <t>22-Dec-2024 01:23</t>
  </si>
  <si>
    <t xml:space="preserve"> ORD-10303 </t>
  </si>
  <si>
    <t>13-Oct-2024</t>
  </si>
  <si>
    <t>17/10/2024</t>
  </si>
  <si>
    <t>ORD-10304</t>
  </si>
  <si>
    <t>2024-05-24</t>
  </si>
  <si>
    <t xml:space="preserve"> 26 May 2024</t>
  </si>
  <si>
    <t>ORD-10305</t>
  </si>
  <si>
    <t>14-Sep-2023</t>
  </si>
  <si>
    <t>15-Sep-2023</t>
  </si>
  <si>
    <t xml:space="preserve"> ORD-10306 </t>
  </si>
  <si>
    <t>16-Dec-2024</t>
  </si>
  <si>
    <t>12-24-2024</t>
  </si>
  <si>
    <t>ORD-10307</t>
  </si>
  <si>
    <t>25 November 2023 04:45</t>
  </si>
  <si>
    <t>ORD-10308</t>
  </si>
  <si>
    <t>27/01/2023</t>
  </si>
  <si>
    <t>ORD-10309</t>
  </si>
  <si>
    <t>2024-01-02</t>
  </si>
  <si>
    <t>ORD-10310</t>
  </si>
  <si>
    <t>12-03-2024 05:16</t>
  </si>
  <si>
    <t>12-05-2024 05:16</t>
  </si>
  <si>
    <t>ORD-10311</t>
  </si>
  <si>
    <t>04-Jul-2024</t>
  </si>
  <si>
    <t>11-Jul-2024</t>
  </si>
  <si>
    <t>ORD-10312</t>
  </si>
  <si>
    <t>25 September 2024</t>
  </si>
  <si>
    <t>28 September 2024</t>
  </si>
  <si>
    <t xml:space="preserve"> ORD-10313 </t>
  </si>
  <si>
    <t xml:space="preserve">02 February 2024 </t>
  </si>
  <si>
    <t>04-Feb-2024</t>
  </si>
  <si>
    <t>ORD-10314</t>
  </si>
  <si>
    <t>05-11-2024</t>
  </si>
  <si>
    <t>2024-05-17</t>
  </si>
  <si>
    <t>ORD-10315</t>
  </si>
  <si>
    <t xml:space="preserve">26 November 2024 </t>
  </si>
  <si>
    <t>ORD-10316</t>
  </si>
  <si>
    <t>2024-06-22</t>
  </si>
  <si>
    <t xml:space="preserve"> ORD-10317 </t>
  </si>
  <si>
    <t>06-24-2024 22:47</t>
  </si>
  <si>
    <t xml:space="preserve">06-29-2024 </t>
  </si>
  <si>
    <t xml:space="preserve"> ORD-10318 </t>
  </si>
  <si>
    <t>04-24-2024 12:10</t>
  </si>
  <si>
    <t xml:space="preserve"> 04 May 2024 12:10</t>
  </si>
  <si>
    <t xml:space="preserve"> ORD-10319 </t>
  </si>
  <si>
    <t>14-Nov-2024</t>
  </si>
  <si>
    <t>18-Nov-2024</t>
  </si>
  <si>
    <t xml:space="preserve"> ORD-10320 </t>
  </si>
  <si>
    <t>2023-10-31 08:10</t>
  </si>
  <si>
    <t>08-Nov-2023</t>
  </si>
  <si>
    <t>ORD-10321</t>
  </si>
  <si>
    <t>16/12/2023</t>
  </si>
  <si>
    <t>ORD-10322</t>
  </si>
  <si>
    <t>09 November 2024 16:10</t>
  </si>
  <si>
    <t>11-17-2024</t>
  </si>
  <si>
    <t>ORD-10323</t>
  </si>
  <si>
    <t>2025-06-05</t>
  </si>
  <si>
    <t xml:space="preserve">2025-06-10 </t>
  </si>
  <si>
    <t xml:space="preserve"> ORD-10324 </t>
  </si>
  <si>
    <t xml:space="preserve"> 20 November 2024</t>
  </si>
  <si>
    <t>30 November 2024</t>
  </si>
  <si>
    <t>ORD-10325</t>
  </si>
  <si>
    <t>04 February 2024</t>
  </si>
  <si>
    <t>07 February 2024</t>
  </si>
  <si>
    <t>ORD-10326</t>
  </si>
  <si>
    <t>2023-11-11 09:50</t>
  </si>
  <si>
    <t xml:space="preserve">12/11/2023 </t>
  </si>
  <si>
    <t xml:space="preserve"> ORD-10327 </t>
  </si>
  <si>
    <t>05-24-2024</t>
  </si>
  <si>
    <t>2024-06-01</t>
  </si>
  <si>
    <t>ORD-10328</t>
  </si>
  <si>
    <t xml:space="preserve">20-Feb-2025 </t>
  </si>
  <si>
    <t xml:space="preserve"> ORD-10329 </t>
  </si>
  <si>
    <t>03-27-2023 14:25</t>
  </si>
  <si>
    <t>05 April 2023 14:25</t>
  </si>
  <si>
    <t xml:space="preserve"> ORD-10330 </t>
  </si>
  <si>
    <t>09/05/2024</t>
  </si>
  <si>
    <t>2024-05-13</t>
  </si>
  <si>
    <t>ORD-10331</t>
  </si>
  <si>
    <t xml:space="preserve"> ORD-10332 </t>
  </si>
  <si>
    <t>2024-04-18</t>
  </si>
  <si>
    <t>ORD-10333</t>
  </si>
  <si>
    <t xml:space="preserve"> 19/02/2024</t>
  </si>
  <si>
    <t xml:space="preserve"> 25-Feb-2024</t>
  </si>
  <si>
    <t>ORD-10334</t>
  </si>
  <si>
    <t>01-31-2025</t>
  </si>
  <si>
    <t>2025-02-02 14:58</t>
  </si>
  <si>
    <t>ORD-10335</t>
  </si>
  <si>
    <t>2025-04-05</t>
  </si>
  <si>
    <t xml:space="preserve">07 April 2025 </t>
  </si>
  <si>
    <t>ORD-10336</t>
  </si>
  <si>
    <t>2024-08-24</t>
  </si>
  <si>
    <t>30/08/2024 00:01</t>
  </si>
  <si>
    <t>ORD-10337</t>
  </si>
  <si>
    <t>25/11/2023 22:30</t>
  </si>
  <si>
    <t>11-29-2023</t>
  </si>
  <si>
    <t>ORD-10338</t>
  </si>
  <si>
    <t>12/01/2024</t>
  </si>
  <si>
    <t>21 January 2024 16:26</t>
  </si>
  <si>
    <t>ORD-10339</t>
  </si>
  <si>
    <t>2024-02-24</t>
  </si>
  <si>
    <t>28-Feb-2024</t>
  </si>
  <si>
    <t xml:space="preserve"> ORD-10340 </t>
  </si>
  <si>
    <t>09/04/2025</t>
  </si>
  <si>
    <t>19 April 2025</t>
  </si>
  <si>
    <t>ORD-10341</t>
  </si>
  <si>
    <t>2024-11-10</t>
  </si>
  <si>
    <t>ORD-10342</t>
  </si>
  <si>
    <t>05-11-2025</t>
  </si>
  <si>
    <t>2025-05-14</t>
  </si>
  <si>
    <t>ORD-10343</t>
  </si>
  <si>
    <t>19/04/2023 00:18</t>
  </si>
  <si>
    <t xml:space="preserve">26-Apr-2023 00:18 </t>
  </si>
  <si>
    <t>ORD-10344</t>
  </si>
  <si>
    <t xml:space="preserve">30-Dec-2024 </t>
  </si>
  <si>
    <t>08-Jan-2025</t>
  </si>
  <si>
    <t>ORD-10345</t>
  </si>
  <si>
    <t>11-26-2023</t>
  </si>
  <si>
    <t>ORD-10346</t>
  </si>
  <si>
    <t>09 October 2023 02:35</t>
  </si>
  <si>
    <t>13/10/2023</t>
  </si>
  <si>
    <t>ORD-10347</t>
  </si>
  <si>
    <t>10-Feb-2025 00:00</t>
  </si>
  <si>
    <t>ORD-10348</t>
  </si>
  <si>
    <t>12/04/2023</t>
  </si>
  <si>
    <t>16-Apr-2023</t>
  </si>
  <si>
    <t>ORD-10349</t>
  </si>
  <si>
    <t>28/03/2025</t>
  </si>
  <si>
    <t>06 April 2025</t>
  </si>
  <si>
    <t xml:space="preserve"> ORD-10350 </t>
  </si>
  <si>
    <t>02-08-2023</t>
  </si>
  <si>
    <t>18-Feb-2023</t>
  </si>
  <si>
    <t>ORD-10351</t>
  </si>
  <si>
    <t>2024-08-11</t>
  </si>
  <si>
    <t>08-21-2024 17:40</t>
  </si>
  <si>
    <t>ORD-10352</t>
  </si>
  <si>
    <t>21 March 2025</t>
  </si>
  <si>
    <t>03-23-2025</t>
  </si>
  <si>
    <t>ORD-10353</t>
  </si>
  <si>
    <t>11-26-2024</t>
  </si>
  <si>
    <t>ORD-10354</t>
  </si>
  <si>
    <t xml:space="preserve"> 2023-10-06</t>
  </si>
  <si>
    <t>ORD-10355</t>
  </si>
  <si>
    <t>12-13-2023 12:30</t>
  </si>
  <si>
    <t xml:space="preserve">18/12/2023 </t>
  </si>
  <si>
    <t>ORD-10356</t>
  </si>
  <si>
    <t>12/02/2023</t>
  </si>
  <si>
    <t>02-17-2023 05:46</t>
  </si>
  <si>
    <t>ORD-10357</t>
  </si>
  <si>
    <t>ORD-10358</t>
  </si>
  <si>
    <t xml:space="preserve"> 25-Feb-2023</t>
  </si>
  <si>
    <t>06-Mar-2023</t>
  </si>
  <si>
    <t>ORD-10359</t>
  </si>
  <si>
    <t xml:space="preserve"> ORD-10360 </t>
  </si>
  <si>
    <t>2023-01-17</t>
  </si>
  <si>
    <t>2023-01-26 02:15</t>
  </si>
  <si>
    <t>ORD-10361</t>
  </si>
  <si>
    <t>13-Nov-2024</t>
  </si>
  <si>
    <t>11-22-2024</t>
  </si>
  <si>
    <t>ORD-10362</t>
  </si>
  <si>
    <t>24/01/2024 06:09</t>
  </si>
  <si>
    <t>2024-02-03</t>
  </si>
  <si>
    <t xml:space="preserve"> ORD-10363 </t>
  </si>
  <si>
    <t>09-04-2024</t>
  </si>
  <si>
    <t xml:space="preserve">09 September 2024 </t>
  </si>
  <si>
    <t>ORD-10364</t>
  </si>
  <si>
    <t>09 July 2024</t>
  </si>
  <si>
    <t>15 July 2024</t>
  </si>
  <si>
    <t>ORD-10365</t>
  </si>
  <si>
    <t>2023-08-05</t>
  </si>
  <si>
    <t>2023-08-06</t>
  </si>
  <si>
    <t>ORD-10366</t>
  </si>
  <si>
    <t>15-Mar-2024</t>
  </si>
  <si>
    <t>21/03/2024 17:26</t>
  </si>
  <si>
    <t xml:space="preserve"> ORD-10367 </t>
  </si>
  <si>
    <t>24/06/2024</t>
  </si>
  <si>
    <t>07-04-2024</t>
  </si>
  <si>
    <t xml:space="preserve"> ORD-10368 </t>
  </si>
  <si>
    <t>2024-04-11</t>
  </si>
  <si>
    <t>2024-04-13 03:36</t>
  </si>
  <si>
    <t>ORD-10369</t>
  </si>
  <si>
    <t>10-18-2024</t>
  </si>
  <si>
    <t>27-Oct-2024</t>
  </si>
  <si>
    <t xml:space="preserve"> ORD-10370 </t>
  </si>
  <si>
    <t>05-23-2023</t>
  </si>
  <si>
    <t>2023-05-30</t>
  </si>
  <si>
    <t xml:space="preserve"> ORD-10371 </t>
  </si>
  <si>
    <t>15 April 2025 00:55</t>
  </si>
  <si>
    <t>19/04/2025</t>
  </si>
  <si>
    <t xml:space="preserve"> ORD-10372 </t>
  </si>
  <si>
    <t>30-Sep-2024</t>
  </si>
  <si>
    <t>10 October 2024</t>
  </si>
  <si>
    <t>ORD-10373</t>
  </si>
  <si>
    <t>27 August 2024 23:13</t>
  </si>
  <si>
    <t>2024-09-06 23:13</t>
  </si>
  <si>
    <t>ORD-10374</t>
  </si>
  <si>
    <t>2023-08-09</t>
  </si>
  <si>
    <t>08-16-2023 19:14</t>
  </si>
  <si>
    <t>ORD-10375</t>
  </si>
  <si>
    <t>02-26-2023 10:38</t>
  </si>
  <si>
    <t>2023-02-27</t>
  </si>
  <si>
    <t>ORD-10376</t>
  </si>
  <si>
    <t xml:space="preserve"> 02-01-2025 01:10</t>
  </si>
  <si>
    <t>2025-02-02</t>
  </si>
  <si>
    <t>ORD-10377</t>
  </si>
  <si>
    <t>29/05/2023</t>
  </si>
  <si>
    <t>06-04-2023 02:53</t>
  </si>
  <si>
    <t>ORD-10378</t>
  </si>
  <si>
    <t>11-22-2023</t>
  </si>
  <si>
    <t>02/12/2023</t>
  </si>
  <si>
    <t>ORD-10379</t>
  </si>
  <si>
    <t>11-02-2024</t>
  </si>
  <si>
    <t>09-Nov-2024</t>
  </si>
  <si>
    <t>ORD-10380</t>
  </si>
  <si>
    <t>2023-09-01</t>
  </si>
  <si>
    <t xml:space="preserve"> ORD-10381 </t>
  </si>
  <si>
    <t xml:space="preserve"> 04-Aug-2024 22:53</t>
  </si>
  <si>
    <t>13/08/2024</t>
  </si>
  <si>
    <t>ORD-10382</t>
  </si>
  <si>
    <t>18/01/2025</t>
  </si>
  <si>
    <t xml:space="preserve">27 January 2025 </t>
  </si>
  <si>
    <t>ORD-10383</t>
  </si>
  <si>
    <t xml:space="preserve"> 11/08/2024</t>
  </si>
  <si>
    <t>2024-08-14 09:07</t>
  </si>
  <si>
    <t xml:space="preserve"> ORD-10384 </t>
  </si>
  <si>
    <t>2025-02-14</t>
  </si>
  <si>
    <t>24/02/2025 14:12</t>
  </si>
  <si>
    <t xml:space="preserve"> ORD-10385 </t>
  </si>
  <si>
    <t>10-14-2023</t>
  </si>
  <si>
    <t>24 October 2023</t>
  </si>
  <si>
    <t>ORD-10386</t>
  </si>
  <si>
    <t>04-15-2025 09:59</t>
  </si>
  <si>
    <t>ORD-10387</t>
  </si>
  <si>
    <t>26 April 2023</t>
  </si>
  <si>
    <t>ORD-10388</t>
  </si>
  <si>
    <t>22 June 2023</t>
  </si>
  <si>
    <t>ORD-10389</t>
  </si>
  <si>
    <t>2025-04-11</t>
  </si>
  <si>
    <t>ORD-10390</t>
  </si>
  <si>
    <t>15/04/2025</t>
  </si>
  <si>
    <t>23/04/2025</t>
  </si>
  <si>
    <t>ORD-10391</t>
  </si>
  <si>
    <t>2023-02-16 18:02</t>
  </si>
  <si>
    <t>2023-02-21</t>
  </si>
  <si>
    <t>ORD-10392</t>
  </si>
  <si>
    <t xml:space="preserve"> 2023-10-28</t>
  </si>
  <si>
    <t>2023-10-31</t>
  </si>
  <si>
    <t>ORD-10393</t>
  </si>
  <si>
    <t>17 February 2025</t>
  </si>
  <si>
    <t>ORD-10394</t>
  </si>
  <si>
    <t>02-26-2025</t>
  </si>
  <si>
    <t xml:space="preserve"> ORD-10395 </t>
  </si>
  <si>
    <t>06-Jul-2023</t>
  </si>
  <si>
    <t>12-Jul-2023</t>
  </si>
  <si>
    <t xml:space="preserve"> ORD-10396 </t>
  </si>
  <si>
    <t xml:space="preserve">26-Oct-2023 20:37 </t>
  </si>
  <si>
    <t>04/11/2023 20:37</t>
  </si>
  <si>
    <t>ORD-10397</t>
  </si>
  <si>
    <t>03/10/2024 12:09</t>
  </si>
  <si>
    <t>04/10/2024 12:09</t>
  </si>
  <si>
    <t>ORD-10398</t>
  </si>
  <si>
    <t>23-Apr-2025</t>
  </si>
  <si>
    <t>2025-04-26 07:30</t>
  </si>
  <si>
    <t>ORD-10399</t>
  </si>
  <si>
    <t>2025-01-13 20:25</t>
  </si>
  <si>
    <t xml:space="preserve"> 23 January 2025 20:25</t>
  </si>
  <si>
    <t>ORD-10400</t>
  </si>
  <si>
    <t>2023-04-03</t>
  </si>
  <si>
    <t xml:space="preserve">10 April 2023 17:10 </t>
  </si>
  <si>
    <t>ORD-10401</t>
  </si>
  <si>
    <t>31-Jan-2024 15:47</t>
  </si>
  <si>
    <t>2024-02-07 15:47</t>
  </si>
  <si>
    <t>ORD-10402</t>
  </si>
  <si>
    <t xml:space="preserve"> 29 October 2023</t>
  </si>
  <si>
    <t xml:space="preserve">11-03-2023 </t>
  </si>
  <si>
    <t>ORD-10403</t>
  </si>
  <si>
    <t>07-13-2023</t>
  </si>
  <si>
    <t>17-Jul-2023</t>
  </si>
  <si>
    <t>ORD-10404</t>
  </si>
  <si>
    <t>13/01/2023</t>
  </si>
  <si>
    <t>20/01/2023</t>
  </si>
  <si>
    <t>ORD-10405</t>
  </si>
  <si>
    <t>2024-06-28 12:50</t>
  </si>
  <si>
    <t>2024-07-07</t>
  </si>
  <si>
    <t>ORD-10406</t>
  </si>
  <si>
    <t>16/03/2025</t>
  </si>
  <si>
    <t>2025-03-25</t>
  </si>
  <si>
    <t xml:space="preserve"> ORD-10407 </t>
  </si>
  <si>
    <t>07-08-2023 21:18</t>
  </si>
  <si>
    <t xml:space="preserve"> 13-Jul-2023</t>
  </si>
  <si>
    <t xml:space="preserve"> ORD-10408 </t>
  </si>
  <si>
    <t>06-22-2023 22:35</t>
  </si>
  <si>
    <t>ORD-10409</t>
  </si>
  <si>
    <t>23/03/2023</t>
  </si>
  <si>
    <t>2023-03-31</t>
  </si>
  <si>
    <t xml:space="preserve"> ORD-10410 </t>
  </si>
  <si>
    <t>23 May 2024 09:19</t>
  </si>
  <si>
    <t>06-01-2024</t>
  </si>
  <si>
    <t xml:space="preserve"> ORD-10411 </t>
  </si>
  <si>
    <t>02 April 2025 22:23</t>
  </si>
  <si>
    <t xml:space="preserve"> ORD-10412 </t>
  </si>
  <si>
    <t>16/04/2025</t>
  </si>
  <si>
    <t>ORD-10413</t>
  </si>
  <si>
    <t>30 October 2024</t>
  </si>
  <si>
    <t>08/11/2024</t>
  </si>
  <si>
    <t>ORD-10414</t>
  </si>
  <si>
    <t>10-14-2024</t>
  </si>
  <si>
    <t xml:space="preserve"> 24/10/2024</t>
  </si>
  <si>
    <t>ORD-10415</t>
  </si>
  <si>
    <t>2024-10-20</t>
  </si>
  <si>
    <t>ORD-10416</t>
  </si>
  <si>
    <t>19 May 2025 18:44</t>
  </si>
  <si>
    <t>22-May-2025</t>
  </si>
  <si>
    <t>ORD-10417</t>
  </si>
  <si>
    <t>03-Sep-2024</t>
  </si>
  <si>
    <t>06/09/2024</t>
  </si>
  <si>
    <t>ORD-10418</t>
  </si>
  <si>
    <t>2024-09-18</t>
  </si>
  <si>
    <t>27 September 2024</t>
  </si>
  <si>
    <t>ORD-10419</t>
  </si>
  <si>
    <t>04-10-2024</t>
  </si>
  <si>
    <t>ORD-10420</t>
  </si>
  <si>
    <t>12-18-2023</t>
  </si>
  <si>
    <t>22/12/2023 01:06</t>
  </si>
  <si>
    <t>ORD-10421</t>
  </si>
  <si>
    <t>2024-12-17</t>
  </si>
  <si>
    <t>ORD-10422</t>
  </si>
  <si>
    <t>03/04/2024 13:01</t>
  </si>
  <si>
    <t>ORD-10423</t>
  </si>
  <si>
    <t>2025-03-06</t>
  </si>
  <si>
    <t xml:space="preserve"> ORD-10424 </t>
  </si>
  <si>
    <t>11-25-2024</t>
  </si>
  <si>
    <t xml:space="preserve"> 11-29-2024</t>
  </si>
  <si>
    <t xml:space="preserve"> ORD-10425 </t>
  </si>
  <si>
    <t>14 May 2025</t>
  </si>
  <si>
    <t>05-23-2025</t>
  </si>
  <si>
    <t>ORD-10426</t>
  </si>
  <si>
    <t>03-11-2025</t>
  </si>
  <si>
    <t>03-14-2025</t>
  </si>
  <si>
    <t>ORD-10427</t>
  </si>
  <si>
    <t>2024-07-03</t>
  </si>
  <si>
    <t>12/07/2024</t>
  </si>
  <si>
    <t xml:space="preserve"> ORD-10428 </t>
  </si>
  <si>
    <t xml:space="preserve"> 26/09/2023</t>
  </si>
  <si>
    <t>ORD-10429</t>
  </si>
  <si>
    <t>05-14-2025</t>
  </si>
  <si>
    <t>05-16-2025</t>
  </si>
  <si>
    <t>ORD-10430</t>
  </si>
  <si>
    <t>10-Mar-2024</t>
  </si>
  <si>
    <t xml:space="preserve"> 11 March 2024 23:31</t>
  </si>
  <si>
    <t>ORD-10431</t>
  </si>
  <si>
    <t xml:space="preserve"> 10/05/2025</t>
  </si>
  <si>
    <t xml:space="preserve">20-May-2025 11:19 </t>
  </si>
  <si>
    <t>ORD-10432</t>
  </si>
  <si>
    <t xml:space="preserve"> 24-Jun-2024 03:10</t>
  </si>
  <si>
    <t xml:space="preserve"> ORD-10433 </t>
  </si>
  <si>
    <t>24 March 2023</t>
  </si>
  <si>
    <t>04-02-2023 01:48</t>
  </si>
  <si>
    <t xml:space="preserve"> ORD-10434 </t>
  </si>
  <si>
    <t>20 July 2023</t>
  </si>
  <si>
    <t>26-Jul-2023</t>
  </si>
  <si>
    <t>ORD-10435</t>
  </si>
  <si>
    <t xml:space="preserve">15/08/2023 05:36 </t>
  </si>
  <si>
    <t xml:space="preserve"> 19-Aug-2023</t>
  </si>
  <si>
    <t>ORD-10436</t>
  </si>
  <si>
    <t>2023-11-04</t>
  </si>
  <si>
    <t>2023-11-07 20:24</t>
  </si>
  <si>
    <t xml:space="preserve"> ORD-10437 </t>
  </si>
  <si>
    <t>05/02/2025</t>
  </si>
  <si>
    <t>2025-02-11 09:26</t>
  </si>
  <si>
    <t xml:space="preserve"> ORD-10438 </t>
  </si>
  <si>
    <t>09/03/2025</t>
  </si>
  <si>
    <t>10-Mar-2025</t>
  </si>
  <si>
    <t>ORD-10439</t>
  </si>
  <si>
    <t>05-Apr-2025</t>
  </si>
  <si>
    <t>12-Apr-2025</t>
  </si>
  <si>
    <t xml:space="preserve"> ORD-10440 </t>
  </si>
  <si>
    <t>02-Feb-2024</t>
  </si>
  <si>
    <t>06 February 2024 06:37</t>
  </si>
  <si>
    <t>ORD-10441</t>
  </si>
  <si>
    <t>28 January 2023</t>
  </si>
  <si>
    <t xml:space="preserve"> 05 February 2023</t>
  </si>
  <si>
    <t xml:space="preserve"> ORD-10442 </t>
  </si>
  <si>
    <t>11/02/2024</t>
  </si>
  <si>
    <t>02-16-2024</t>
  </si>
  <si>
    <t>ORD-10443</t>
  </si>
  <si>
    <t>07-Mar-2024 04:16</t>
  </si>
  <si>
    <t>16 March 2024</t>
  </si>
  <si>
    <t>ORD-10444</t>
  </si>
  <si>
    <t>26 July 2023</t>
  </si>
  <si>
    <t>ORD-10445</t>
  </si>
  <si>
    <t>25-Jul-2023</t>
  </si>
  <si>
    <t>ORD-10446</t>
  </si>
  <si>
    <t>08-11-2024</t>
  </si>
  <si>
    <t xml:space="preserve"> 21-Aug-2024</t>
  </si>
  <si>
    <t>ORD-10447</t>
  </si>
  <si>
    <t>2024-09-12</t>
  </si>
  <si>
    <t>09-18-2024</t>
  </si>
  <si>
    <t>ORD-10448</t>
  </si>
  <si>
    <t>01-01-2024 17:22</t>
  </si>
  <si>
    <t>05 January 2024</t>
  </si>
  <si>
    <t xml:space="preserve"> ORD-10449 </t>
  </si>
  <si>
    <t>26 December 2023 22:49</t>
  </si>
  <si>
    <t>ORD-10450</t>
  </si>
  <si>
    <t>18/07/2024</t>
  </si>
  <si>
    <t>2024-07-20</t>
  </si>
  <si>
    <t>ORD-10451</t>
  </si>
  <si>
    <t>2023-05-11</t>
  </si>
  <si>
    <t>16 May 2023</t>
  </si>
  <si>
    <t>ORD-10452</t>
  </si>
  <si>
    <t>ORD-10453</t>
  </si>
  <si>
    <t xml:space="preserve"> 08-24-2023</t>
  </si>
  <si>
    <t>ORD-10454</t>
  </si>
  <si>
    <t>06-Oct-2023</t>
  </si>
  <si>
    <t>10-16-2023</t>
  </si>
  <si>
    <t xml:space="preserve"> ORD-10455 </t>
  </si>
  <si>
    <t>03-12-2024 21:16</t>
  </si>
  <si>
    <t>2024-03-21</t>
  </si>
  <si>
    <t>ORD-10456</t>
  </si>
  <si>
    <t>08/01/2023 20:37</t>
  </si>
  <si>
    <t>ORD-10457</t>
  </si>
  <si>
    <t xml:space="preserve"> 12 January 2023 </t>
  </si>
  <si>
    <t>ORD-10458</t>
  </si>
  <si>
    <t>23 February 2025</t>
  </si>
  <si>
    <t xml:space="preserve"> ORD-10459 </t>
  </si>
  <si>
    <t xml:space="preserve"> 05/05/2023</t>
  </si>
  <si>
    <t>15-May-2023</t>
  </si>
  <si>
    <t>ORD-10460</t>
  </si>
  <si>
    <t>14/01/2025</t>
  </si>
  <si>
    <t xml:space="preserve">22/01/2025 </t>
  </si>
  <si>
    <t>ORD-10461</t>
  </si>
  <si>
    <t>2023-03-15</t>
  </si>
  <si>
    <t>18/03/2023</t>
  </si>
  <si>
    <t xml:space="preserve"> ORD-10462 </t>
  </si>
  <si>
    <t>03-12-2023</t>
  </si>
  <si>
    <t>ORD-10463</t>
  </si>
  <si>
    <t xml:space="preserve">2023-11-02 </t>
  </si>
  <si>
    <t>03/11/2023</t>
  </si>
  <si>
    <t xml:space="preserve"> ORD-10464 </t>
  </si>
  <si>
    <t>2024-09-27</t>
  </si>
  <si>
    <t xml:space="preserve"> 2024-10-06</t>
  </si>
  <si>
    <t xml:space="preserve"> ORD-10465 </t>
  </si>
  <si>
    <t>18 August 2023 02:22</t>
  </si>
  <si>
    <t>08-26-2023</t>
  </si>
  <si>
    <t>ORD-10466</t>
  </si>
  <si>
    <t>09-22-2023</t>
  </si>
  <si>
    <t xml:space="preserve"> 02/10/2023</t>
  </si>
  <si>
    <t>ORD-10467</t>
  </si>
  <si>
    <t>03-19-2025 05:16</t>
  </si>
  <si>
    <t>2025-03-25 05:16</t>
  </si>
  <si>
    <t xml:space="preserve"> ORD-10468 </t>
  </si>
  <si>
    <t>24-May-2025</t>
  </si>
  <si>
    <t xml:space="preserve"> 27-May-2025</t>
  </si>
  <si>
    <t>ORD-10469</t>
  </si>
  <si>
    <t>27/05/2025</t>
  </si>
  <si>
    <t xml:space="preserve"> 02/06/2025</t>
  </si>
  <si>
    <t>ORD-10470</t>
  </si>
  <si>
    <t>13 March 2024</t>
  </si>
  <si>
    <t>20/03/2024</t>
  </si>
  <si>
    <t xml:space="preserve"> ORD-10471 </t>
  </si>
  <si>
    <t>12-27-2024</t>
  </si>
  <si>
    <t>01-02-2025 21:08</t>
  </si>
  <si>
    <t>ORD-10472</t>
  </si>
  <si>
    <t>2025-01-08</t>
  </si>
  <si>
    <t>ORD-10473</t>
  </si>
  <si>
    <t>12 January 2023</t>
  </si>
  <si>
    <t>01-14-2023</t>
  </si>
  <si>
    <t>ORD-10474</t>
  </si>
  <si>
    <t>ORD-10475</t>
  </si>
  <si>
    <t>11-Dec-2023 08:27</t>
  </si>
  <si>
    <t xml:space="preserve">2023-12-18 </t>
  </si>
  <si>
    <t>ORD-10476</t>
  </si>
  <si>
    <t>29/01/2025</t>
  </si>
  <si>
    <t>30 January 2025</t>
  </si>
  <si>
    <t>ORD-10477</t>
  </si>
  <si>
    <t>2025-01-16</t>
  </si>
  <si>
    <t>2025-01-21</t>
  </si>
  <si>
    <t>ORD-10478</t>
  </si>
  <si>
    <t>19-May-2025</t>
  </si>
  <si>
    <t>24 May 2025</t>
  </si>
  <si>
    <t xml:space="preserve"> ORD-10479 </t>
  </si>
  <si>
    <t>2024-05-30 13:16</t>
  </si>
  <si>
    <t xml:space="preserve"> 05-31-2024</t>
  </si>
  <si>
    <t xml:space="preserve"> ORD-10480 </t>
  </si>
  <si>
    <t xml:space="preserve"> 09-04-2023</t>
  </si>
  <si>
    <t>11/09/2023 11:46</t>
  </si>
  <si>
    <t xml:space="preserve"> ORD-10481 </t>
  </si>
  <si>
    <t xml:space="preserve"> 2023-04-29</t>
  </si>
  <si>
    <t>2023-05-02 04:17</t>
  </si>
  <si>
    <t>ORD-10482</t>
  </si>
  <si>
    <t>2024-09-07</t>
  </si>
  <si>
    <t>09-11-2024 10:29</t>
  </si>
  <si>
    <t>ORD-10483</t>
  </si>
  <si>
    <t xml:space="preserve"> 31/05/2024</t>
  </si>
  <si>
    <t xml:space="preserve"> ORD-10484 </t>
  </si>
  <si>
    <t>09-14-2023</t>
  </si>
  <si>
    <t>2023-09-23</t>
  </si>
  <si>
    <t>ORD-10485</t>
  </si>
  <si>
    <t>09 June 2025 19:59</t>
  </si>
  <si>
    <t>ORD-10486</t>
  </si>
  <si>
    <t>26/12/2024</t>
  </si>
  <si>
    <t xml:space="preserve"> 29-Dec-2024</t>
  </si>
  <si>
    <t xml:space="preserve"> ORD-10487 </t>
  </si>
  <si>
    <t>01-01-2023</t>
  </si>
  <si>
    <t>ORD-10488</t>
  </si>
  <si>
    <t>16 January 2025 17:46</t>
  </si>
  <si>
    <t>ORD-10489</t>
  </si>
  <si>
    <t>01-Dec-2023</t>
  </si>
  <si>
    <t>ORD-10490</t>
  </si>
  <si>
    <t xml:space="preserve">12/02/2024 19:01 </t>
  </si>
  <si>
    <t>15 February 2024</t>
  </si>
  <si>
    <t xml:space="preserve"> ORD-10491 </t>
  </si>
  <si>
    <t xml:space="preserve">02-26-2025 </t>
  </si>
  <si>
    <t xml:space="preserve"> 03-01-2025 06:22</t>
  </si>
  <si>
    <t>ORD-10492</t>
  </si>
  <si>
    <t>2023-10-24</t>
  </si>
  <si>
    <t>01-Nov-2023</t>
  </si>
  <si>
    <t xml:space="preserve"> ORD-10493 </t>
  </si>
  <si>
    <t>21-Apr-2024</t>
  </si>
  <si>
    <t xml:space="preserve"> ORD-10494 </t>
  </si>
  <si>
    <t>08-Dec-2023 02:27</t>
  </si>
  <si>
    <t>12-12-2023</t>
  </si>
  <si>
    <t xml:space="preserve"> ORD-10495 </t>
  </si>
  <si>
    <t>29 January 2025 05:56</t>
  </si>
  <si>
    <t>02/02/2025</t>
  </si>
  <si>
    <t xml:space="preserve"> ORD-10496 </t>
  </si>
  <si>
    <t>2024-03-13</t>
  </si>
  <si>
    <t xml:space="preserve"> ORD-10497 </t>
  </si>
  <si>
    <t>ORD-10498</t>
  </si>
  <si>
    <t>13-Mar-2025</t>
  </si>
  <si>
    <t>18 March 2025</t>
  </si>
  <si>
    <t>ORD-10499</t>
  </si>
  <si>
    <t xml:space="preserve"> 10-11-2023 03:40</t>
  </si>
  <si>
    <t xml:space="preserve"> ORD-10500 </t>
  </si>
  <si>
    <t>08/04/2025</t>
  </si>
  <si>
    <t>13/04/2025 19:36</t>
  </si>
  <si>
    <t xml:space="preserve"> ORD-10501 </t>
  </si>
  <si>
    <t>29 July 2024</t>
  </si>
  <si>
    <t xml:space="preserve"> 05 August 2024</t>
  </si>
  <si>
    <t>ORD-10502</t>
  </si>
  <si>
    <t>18/08/2024</t>
  </si>
  <si>
    <t>ORD-10503</t>
  </si>
  <si>
    <t>2023-01-13 22:37</t>
  </si>
  <si>
    <t xml:space="preserve">01-22-2023 </t>
  </si>
  <si>
    <t>ORD-10504</t>
  </si>
  <si>
    <t>26-Jan-2024</t>
  </si>
  <si>
    <t>02-02-2024</t>
  </si>
  <si>
    <t xml:space="preserve"> ORD-10505 </t>
  </si>
  <si>
    <t xml:space="preserve"> 18 July 2023 04:11</t>
  </si>
  <si>
    <t xml:space="preserve"> 22 July 2023</t>
  </si>
  <si>
    <t>ORD-10506</t>
  </si>
  <si>
    <t xml:space="preserve"> 10-26-2023 </t>
  </si>
  <si>
    <t>2023-11-01 05:33</t>
  </si>
  <si>
    <t>ORD-10507</t>
  </si>
  <si>
    <t>15/08/2023</t>
  </si>
  <si>
    <t xml:space="preserve"> ORD-10508 </t>
  </si>
  <si>
    <t xml:space="preserve"> 20-Mar-2024</t>
  </si>
  <si>
    <t xml:space="preserve">24 March 2024 </t>
  </si>
  <si>
    <t>ORD-10509</t>
  </si>
  <si>
    <t>2024-03-25 04:09</t>
  </si>
  <si>
    <t xml:space="preserve">2024-03-31 </t>
  </si>
  <si>
    <t>ORD-10510</t>
  </si>
  <si>
    <t>30-Apr-2025 00:30</t>
  </si>
  <si>
    <t>2025-05-06</t>
  </si>
  <si>
    <t xml:space="preserve"> ORD-10511 </t>
  </si>
  <si>
    <t xml:space="preserve">11/08/2024 </t>
  </si>
  <si>
    <t>ORD-10512</t>
  </si>
  <si>
    <t>2024-04-29 23:05</t>
  </si>
  <si>
    <t xml:space="preserve"> 2024-05-08</t>
  </si>
  <si>
    <t>ORD-10513</t>
  </si>
  <si>
    <t xml:space="preserve">25/03/2025 10:41 </t>
  </si>
  <si>
    <t>2025-04-01</t>
  </si>
  <si>
    <t>ORD-10514</t>
  </si>
  <si>
    <t>2025-02-26</t>
  </si>
  <si>
    <t>ORD-10515</t>
  </si>
  <si>
    <t>07-Jan-2025 13:54</t>
  </si>
  <si>
    <t xml:space="preserve"> 01-11-2025 13:54</t>
  </si>
  <si>
    <t>ORD-10516</t>
  </si>
  <si>
    <t>24 March 2025</t>
  </si>
  <si>
    <t xml:space="preserve"> 31-Mar-2025</t>
  </si>
  <si>
    <t xml:space="preserve"> ORD-10517 </t>
  </si>
  <si>
    <t>31/03/2023</t>
  </si>
  <si>
    <t>08-Apr-2023</t>
  </si>
  <si>
    <t>ORD-10518</t>
  </si>
  <si>
    <t xml:space="preserve">2023-04-28 08:37 </t>
  </si>
  <si>
    <t xml:space="preserve">07/05/2023 </t>
  </si>
  <si>
    <t>ORD-10519</t>
  </si>
  <si>
    <t>16-Feb-2023 20:27</t>
  </si>
  <si>
    <t>25-Feb-2023</t>
  </si>
  <si>
    <t>ORD-10520</t>
  </si>
  <si>
    <t>07 April 2023</t>
  </si>
  <si>
    <t>16 April 2023 09:44</t>
  </si>
  <si>
    <t>ORD-10521</t>
  </si>
  <si>
    <t xml:space="preserve">30/12/2023 </t>
  </si>
  <si>
    <t>01-01-2024</t>
  </si>
  <si>
    <t>ORD-10522</t>
  </si>
  <si>
    <t>01-29-2023</t>
  </si>
  <si>
    <t>06 February 2023</t>
  </si>
  <si>
    <t>ORD-10523</t>
  </si>
  <si>
    <t xml:space="preserve">10 December 2023 </t>
  </si>
  <si>
    <t>ORD-10524</t>
  </si>
  <si>
    <t>04-Jul-2023</t>
  </si>
  <si>
    <t>2023-07-14</t>
  </si>
  <si>
    <t xml:space="preserve"> ORD-10525 </t>
  </si>
  <si>
    <t>18/11/2024</t>
  </si>
  <si>
    <t xml:space="preserve"> 11-25-2024 </t>
  </si>
  <si>
    <t>ORD-10526</t>
  </si>
  <si>
    <t>12-02-2024</t>
  </si>
  <si>
    <t>03/12/2024</t>
  </si>
  <si>
    <t>ORD-10527</t>
  </si>
  <si>
    <t>20 December 2023 19:58</t>
  </si>
  <si>
    <t>12-25-2023</t>
  </si>
  <si>
    <t>ORD-10528</t>
  </si>
  <si>
    <t>12/01/2025</t>
  </si>
  <si>
    <t>15-Jan-2025</t>
  </si>
  <si>
    <t>ORD-10529</t>
  </si>
  <si>
    <t xml:space="preserve">2023-03-29 </t>
  </si>
  <si>
    <t>07/04/2023</t>
  </si>
  <si>
    <t>ORD-10530</t>
  </si>
  <si>
    <t>22/01/2024</t>
  </si>
  <si>
    <t xml:space="preserve">23/01/2024 </t>
  </si>
  <si>
    <t>ORD-10531</t>
  </si>
  <si>
    <t>18 March 2023</t>
  </si>
  <si>
    <t>ORD-10532</t>
  </si>
  <si>
    <t>21/08/2024</t>
  </si>
  <si>
    <t xml:space="preserve"> ORD-10533 </t>
  </si>
  <si>
    <t>2024-09-21</t>
  </si>
  <si>
    <t>ORD-10534</t>
  </si>
  <si>
    <t>2025-05-03</t>
  </si>
  <si>
    <t>09-May-2025 10:13</t>
  </si>
  <si>
    <t xml:space="preserve"> ORD-10535 </t>
  </si>
  <si>
    <t>15 May 2024</t>
  </si>
  <si>
    <t xml:space="preserve"> ORD-10536 </t>
  </si>
  <si>
    <t>22/02/2023</t>
  </si>
  <si>
    <t xml:space="preserve">25/02/2023 </t>
  </si>
  <si>
    <t>ORD-10537</t>
  </si>
  <si>
    <t>05-02-2023</t>
  </si>
  <si>
    <t>ORD-10538</t>
  </si>
  <si>
    <t>13 April 2025</t>
  </si>
  <si>
    <t>ORD-10539</t>
  </si>
  <si>
    <t>30/05/2023</t>
  </si>
  <si>
    <t>06-05-2023</t>
  </si>
  <si>
    <t>ORD-10540</t>
  </si>
  <si>
    <t>ORD-10541</t>
  </si>
  <si>
    <t>ORD-10542</t>
  </si>
  <si>
    <t>01-Oct-2023</t>
  </si>
  <si>
    <t>02/10/2023 20:00</t>
  </si>
  <si>
    <t>ORD-10543</t>
  </si>
  <si>
    <t>19 February 2025 18:31</t>
  </si>
  <si>
    <t>ORD-10544</t>
  </si>
  <si>
    <t xml:space="preserve">30/05/2024 </t>
  </si>
  <si>
    <t>2024-06-02</t>
  </si>
  <si>
    <t xml:space="preserve"> ORD-10545 </t>
  </si>
  <si>
    <t>03-05-2023</t>
  </si>
  <si>
    <t xml:space="preserve">12-Mar-2023 </t>
  </si>
  <si>
    <t>ORD-10546</t>
  </si>
  <si>
    <t>04-01-2024</t>
  </si>
  <si>
    <t>ORD-10547</t>
  </si>
  <si>
    <t>04-23-2024 19:53</t>
  </si>
  <si>
    <t xml:space="preserve">24-Apr-2024 19:53 </t>
  </si>
  <si>
    <t>ORD-10548</t>
  </si>
  <si>
    <t>19/10/2024</t>
  </si>
  <si>
    <t>21-Oct-2024 18:46</t>
  </si>
  <si>
    <t xml:space="preserve"> ORD-10549 </t>
  </si>
  <si>
    <t xml:space="preserve"> 2024-05-29</t>
  </si>
  <si>
    <t>08 June 2024</t>
  </si>
  <si>
    <t>ORD-10550</t>
  </si>
  <si>
    <t xml:space="preserve">16/06/2025 22:00 </t>
  </si>
  <si>
    <t>2025-06-20</t>
  </si>
  <si>
    <t>ORD-10551</t>
  </si>
  <si>
    <t>2023-09-21 22:38</t>
  </si>
  <si>
    <t>2023-09-29</t>
  </si>
  <si>
    <t xml:space="preserve"> ORD-10552 </t>
  </si>
  <si>
    <t>2025-05-17</t>
  </si>
  <si>
    <t>2025-05-24 09:36</t>
  </si>
  <si>
    <t>ORD-10553</t>
  </si>
  <si>
    <t>11-11-2023</t>
  </si>
  <si>
    <t>13/11/2023</t>
  </si>
  <si>
    <t xml:space="preserve"> ORD-10554 </t>
  </si>
  <si>
    <t>04 May 2023</t>
  </si>
  <si>
    <t>07 May 2023 13:30</t>
  </si>
  <si>
    <t>ORD-10555</t>
  </si>
  <si>
    <t xml:space="preserve">08-24-2023 </t>
  </si>
  <si>
    <t>2023-08-27</t>
  </si>
  <si>
    <t xml:space="preserve"> ORD-10556 </t>
  </si>
  <si>
    <t>06-07-2024</t>
  </si>
  <si>
    <t>2024-06-15</t>
  </si>
  <si>
    <t>ORD-10557</t>
  </si>
  <si>
    <t>06-18-2023 06:54</t>
  </si>
  <si>
    <t>28/06/2023</t>
  </si>
  <si>
    <t>ORD-10558</t>
  </si>
  <si>
    <t>25/12/2024</t>
  </si>
  <si>
    <t xml:space="preserve">01-01-2025 </t>
  </si>
  <si>
    <t xml:space="preserve"> ORD-10559 </t>
  </si>
  <si>
    <t>23/03/2024</t>
  </si>
  <si>
    <t xml:space="preserve">27-Mar-2024 </t>
  </si>
  <si>
    <t>ORD-10560</t>
  </si>
  <si>
    <t>19-Apr-2024</t>
  </si>
  <si>
    <t>04-23-2024 15:45</t>
  </si>
  <si>
    <t xml:space="preserve"> ORD-10561 </t>
  </si>
  <si>
    <t>03-19-2025</t>
  </si>
  <si>
    <t xml:space="preserve"> 2025-03-21</t>
  </si>
  <si>
    <t>ORD-10562</t>
  </si>
  <si>
    <t>16 June 2025</t>
  </si>
  <si>
    <t>21 June 2025</t>
  </si>
  <si>
    <t>ORD-10563</t>
  </si>
  <si>
    <t xml:space="preserve"> 08 May 2025</t>
  </si>
  <si>
    <t xml:space="preserve"> ORD-10564 </t>
  </si>
  <si>
    <t>05-Mar-2025</t>
  </si>
  <si>
    <t xml:space="preserve">03-13-2025 01:12 </t>
  </si>
  <si>
    <t xml:space="preserve"> ORD-10565 </t>
  </si>
  <si>
    <t>2023-03-22 06:42</t>
  </si>
  <si>
    <t xml:space="preserve"> 27/03/2023</t>
  </si>
  <si>
    <t xml:space="preserve"> ORD-10566 </t>
  </si>
  <si>
    <t>18/02/2023</t>
  </si>
  <si>
    <t>25 February 2023</t>
  </si>
  <si>
    <t>ORD-10567</t>
  </si>
  <si>
    <t>08-17-2023 16:34</t>
  </si>
  <si>
    <t>23/08/2023</t>
  </si>
  <si>
    <t>ORD-10568</t>
  </si>
  <si>
    <t>02 March 2023</t>
  </si>
  <si>
    <t>2023-03-05</t>
  </si>
  <si>
    <t>ORD-10569</t>
  </si>
  <si>
    <t>01-18-2024 10:21</t>
  </si>
  <si>
    <t>24-Jan-2024</t>
  </si>
  <si>
    <t>ORD-10570</t>
  </si>
  <si>
    <t>2024-09-28</t>
  </si>
  <si>
    <t>10-08-2024</t>
  </si>
  <si>
    <t xml:space="preserve"> ORD-10571 </t>
  </si>
  <si>
    <t>06 March 2024</t>
  </si>
  <si>
    <t>07 March 2024</t>
  </si>
  <si>
    <t>ORD-10572</t>
  </si>
  <si>
    <t>08-23-2024</t>
  </si>
  <si>
    <t>08-26-2024</t>
  </si>
  <si>
    <t>ORD-10573</t>
  </si>
  <si>
    <t>21/09/2023 14:17</t>
  </si>
  <si>
    <t>2023-09-22</t>
  </si>
  <si>
    <t>ORD-10574</t>
  </si>
  <si>
    <t xml:space="preserve"> 14-May-2024 </t>
  </si>
  <si>
    <t>ORD-10575</t>
  </si>
  <si>
    <t>04/12/2023</t>
  </si>
  <si>
    <t>12-08-2023 07:18</t>
  </si>
  <si>
    <t>ORD-10576</t>
  </si>
  <si>
    <t>08-04-2024</t>
  </si>
  <si>
    <t>14-Aug-2024</t>
  </si>
  <si>
    <t>ORD-10577</t>
  </si>
  <si>
    <t>11 August 2023</t>
  </si>
  <si>
    <t>18 August 2023 23:31</t>
  </si>
  <si>
    <t>ORD-10578</t>
  </si>
  <si>
    <t>10 October 2023</t>
  </si>
  <si>
    <t>2023-10-15</t>
  </si>
  <si>
    <t xml:space="preserve"> ORD-10579 </t>
  </si>
  <si>
    <t xml:space="preserve">24-Dec-2024 </t>
  </si>
  <si>
    <t>ORD-10580</t>
  </si>
  <si>
    <t>12 May 2023</t>
  </si>
  <si>
    <t>ORD-10581</t>
  </si>
  <si>
    <t>24-Jul-2024</t>
  </si>
  <si>
    <t>ORD-10582</t>
  </si>
  <si>
    <t>2023-07-13</t>
  </si>
  <si>
    <t xml:space="preserve"> 15 July 2023</t>
  </si>
  <si>
    <t>ORD-10583</t>
  </si>
  <si>
    <t>24/03/2025</t>
  </si>
  <si>
    <t xml:space="preserve"> ORD-10584 </t>
  </si>
  <si>
    <t>12 December 2023 09:41</t>
  </si>
  <si>
    <t xml:space="preserve"> 12-18-2023 </t>
  </si>
  <si>
    <t>ORD-10585</t>
  </si>
  <si>
    <t xml:space="preserve"> 27/09/2024</t>
  </si>
  <si>
    <t>ORD-10586</t>
  </si>
  <si>
    <t>02-24-2023</t>
  </si>
  <si>
    <t xml:space="preserve">2023-02-27 </t>
  </si>
  <si>
    <t xml:space="preserve"> ORD-10587 </t>
  </si>
  <si>
    <t>21-May-2024</t>
  </si>
  <si>
    <t xml:space="preserve"> ORD-10588 </t>
  </si>
  <si>
    <t>09-23-2024</t>
  </si>
  <si>
    <t xml:space="preserve"> 2024-09-26</t>
  </si>
  <si>
    <t xml:space="preserve"> ORD-10589 </t>
  </si>
  <si>
    <t>2024-05-21</t>
  </si>
  <si>
    <t>05-22-2024</t>
  </si>
  <si>
    <t>ORD-10590</t>
  </si>
  <si>
    <t>2023-11-05</t>
  </si>
  <si>
    <t>07/11/2023</t>
  </si>
  <si>
    <t>ORD-10591</t>
  </si>
  <si>
    <t>05/05/2023</t>
  </si>
  <si>
    <t xml:space="preserve"> 15/05/2023 22:33</t>
  </si>
  <si>
    <t>ORD-10592</t>
  </si>
  <si>
    <t>21 December 2023</t>
  </si>
  <si>
    <t>12-29-2023</t>
  </si>
  <si>
    <t>ORD-10593</t>
  </si>
  <si>
    <t xml:space="preserve"> 20/08/2024 15:22</t>
  </si>
  <si>
    <t>ORD-10594</t>
  </si>
  <si>
    <t>2023-07-07</t>
  </si>
  <si>
    <t>10 July 2023 20:46</t>
  </si>
  <si>
    <t>ORD-10595</t>
  </si>
  <si>
    <t>2024-02-17 01:45</t>
  </si>
  <si>
    <t>ORD-10596</t>
  </si>
  <si>
    <t xml:space="preserve">11-24-2024 </t>
  </si>
  <si>
    <t>ORD-10597</t>
  </si>
  <si>
    <t>11 May 2023</t>
  </si>
  <si>
    <t xml:space="preserve">16/05/2023 </t>
  </si>
  <si>
    <t>ORD-10598</t>
  </si>
  <si>
    <t xml:space="preserve"> 09-Oct-2024 </t>
  </si>
  <si>
    <t>ORD-10599</t>
  </si>
  <si>
    <t>12-Aug-2023</t>
  </si>
  <si>
    <t>22/08/2023</t>
  </si>
  <si>
    <t xml:space="preserve"> ORD-10600 </t>
  </si>
  <si>
    <t>20-Jul-2024</t>
  </si>
  <si>
    <t>ORD-10601</t>
  </si>
  <si>
    <t xml:space="preserve"> 2024-11-19</t>
  </si>
  <si>
    <t xml:space="preserve">21-Nov-2024 08:43 </t>
  </si>
  <si>
    <t>ORD-10602</t>
  </si>
  <si>
    <t>01-18-2023</t>
  </si>
  <si>
    <t>01-24-2023</t>
  </si>
  <si>
    <t>ORD-10603</t>
  </si>
  <si>
    <t xml:space="preserve"> 11/02/2023</t>
  </si>
  <si>
    <t>ORD-10604</t>
  </si>
  <si>
    <t xml:space="preserve">25/01/2024 00:14 </t>
  </si>
  <si>
    <t>26 January 2024</t>
  </si>
  <si>
    <t xml:space="preserve"> ORD-10605 </t>
  </si>
  <si>
    <t>2025-02-24</t>
  </si>
  <si>
    <t>05/03/2025</t>
  </si>
  <si>
    <t>ORD-10606</t>
  </si>
  <si>
    <t>13-May-2025</t>
  </si>
  <si>
    <t>2025-05-20</t>
  </si>
  <si>
    <t>ORD-10607</t>
  </si>
  <si>
    <t>2025-05-14 02:15</t>
  </si>
  <si>
    <t>2025-05-15</t>
  </si>
  <si>
    <t xml:space="preserve"> ORD-10608 </t>
  </si>
  <si>
    <t>ORD-10609</t>
  </si>
  <si>
    <t>01-09-2025</t>
  </si>
  <si>
    <t>ORD-10610</t>
  </si>
  <si>
    <t>2023-04-30</t>
  </si>
  <si>
    <t xml:space="preserve"> ORD-10611 </t>
  </si>
  <si>
    <t>09-20-2023</t>
  </si>
  <si>
    <t>2023-09-27</t>
  </si>
  <si>
    <t xml:space="preserve"> ORD-10612 </t>
  </si>
  <si>
    <t xml:space="preserve"> 26-May-2025</t>
  </si>
  <si>
    <t>06-01-2025</t>
  </si>
  <si>
    <t>ORD-10613</t>
  </si>
  <si>
    <t>12/01/2024 09:09</t>
  </si>
  <si>
    <t>16/01/2024</t>
  </si>
  <si>
    <t>ORD-10614</t>
  </si>
  <si>
    <t xml:space="preserve"> 01-14-2025</t>
  </si>
  <si>
    <t>22-Jan-2025</t>
  </si>
  <si>
    <t xml:space="preserve"> ORD-10615 </t>
  </si>
  <si>
    <t>25/11/2024 04:46</t>
  </si>
  <si>
    <t>ORD-10616</t>
  </si>
  <si>
    <t>09-08-2024 05:14</t>
  </si>
  <si>
    <t>ORD-10617</t>
  </si>
  <si>
    <t xml:space="preserve"> 19/01/2024</t>
  </si>
  <si>
    <t>ORD-10618</t>
  </si>
  <si>
    <t>09 June 2025 04:49</t>
  </si>
  <si>
    <t>12 June 2025</t>
  </si>
  <si>
    <t xml:space="preserve"> ORD-10619 </t>
  </si>
  <si>
    <t>26/11/2023 14:01</t>
  </si>
  <si>
    <t>27 November 2023 14:01</t>
  </si>
  <si>
    <t>ORD-10620</t>
  </si>
  <si>
    <t>08-11-2023</t>
  </si>
  <si>
    <t>14/08/2023 14:18</t>
  </si>
  <si>
    <t>ORD-10621</t>
  </si>
  <si>
    <t>2024-07-05 15:08</t>
  </si>
  <si>
    <t xml:space="preserve"> 07-13-2024</t>
  </si>
  <si>
    <t>ORD-10622</t>
  </si>
  <si>
    <t>26/02/2023</t>
  </si>
  <si>
    <t>28/02/2023</t>
  </si>
  <si>
    <t xml:space="preserve"> ORD-10623 </t>
  </si>
  <si>
    <t xml:space="preserve"> 14-Feb-2023</t>
  </si>
  <si>
    <t>24/02/2023</t>
  </si>
  <si>
    <t xml:space="preserve"> ORD-10624 </t>
  </si>
  <si>
    <t>12-Apr-2023</t>
  </si>
  <si>
    <t xml:space="preserve">2023-04-14 </t>
  </si>
  <si>
    <t xml:space="preserve"> ORD-10625 </t>
  </si>
  <si>
    <t>28 October 2024</t>
  </si>
  <si>
    <t>31 October 2024</t>
  </si>
  <si>
    <t>ORD-10626</t>
  </si>
  <si>
    <t>2025-03-08</t>
  </si>
  <si>
    <t>2025-03-14</t>
  </si>
  <si>
    <t>ORD-10627</t>
  </si>
  <si>
    <t xml:space="preserve">06 September 2024 10:00 </t>
  </si>
  <si>
    <t>10-Sep-2024 10:00</t>
  </si>
  <si>
    <t xml:space="preserve"> ORD-10628 </t>
  </si>
  <si>
    <t>2024-04-13</t>
  </si>
  <si>
    <t>ORD-10629</t>
  </si>
  <si>
    <t>09 February 2024 02:55</t>
  </si>
  <si>
    <t>11 February 2024</t>
  </si>
  <si>
    <t>ORD-10630</t>
  </si>
  <si>
    <t xml:space="preserve"> 2025-03-27</t>
  </si>
  <si>
    <t>2025-03-29</t>
  </si>
  <si>
    <t xml:space="preserve"> ORD-10631 </t>
  </si>
  <si>
    <t>30/08/2023 16:09</t>
  </si>
  <si>
    <t>09/09/2023</t>
  </si>
  <si>
    <t xml:space="preserve"> ORD-10632 </t>
  </si>
  <si>
    <t xml:space="preserve"> 04-13-2024 02:40</t>
  </si>
  <si>
    <t>15/04/2024</t>
  </si>
  <si>
    <t xml:space="preserve"> ORD-10633 </t>
  </si>
  <si>
    <t>10 October 2024 14:00</t>
  </si>
  <si>
    <t xml:space="preserve">13 October 2024 </t>
  </si>
  <si>
    <t xml:space="preserve"> ORD-10634 </t>
  </si>
  <si>
    <t>03-23-2025 04:54</t>
  </si>
  <si>
    <t>03-27-2025</t>
  </si>
  <si>
    <t>ORD-10635</t>
  </si>
  <si>
    <t xml:space="preserve"> 05-10-2024</t>
  </si>
  <si>
    <t>17-May-2024 09:02</t>
  </si>
  <si>
    <t>ORD-10636</t>
  </si>
  <si>
    <t>19/11/2023</t>
  </si>
  <si>
    <t>2023-11-23</t>
  </si>
  <si>
    <t>ORD-10637</t>
  </si>
  <si>
    <t>07-May-2023</t>
  </si>
  <si>
    <t xml:space="preserve">08/05/2023 </t>
  </si>
  <si>
    <t xml:space="preserve"> ORD-10638 </t>
  </si>
  <si>
    <t>08 February 2025</t>
  </si>
  <si>
    <t>2025-02-16 01:06</t>
  </si>
  <si>
    <t xml:space="preserve"> ORD-10639 </t>
  </si>
  <si>
    <t>2023-07-09</t>
  </si>
  <si>
    <t xml:space="preserve">10/07/2023 07:04 </t>
  </si>
  <si>
    <t>ORD-10640</t>
  </si>
  <si>
    <t xml:space="preserve">2024-07-26 </t>
  </si>
  <si>
    <t>07-30-2024</t>
  </si>
  <si>
    <t xml:space="preserve"> ORD-10641 </t>
  </si>
  <si>
    <t xml:space="preserve"> 23-Mar-2024</t>
  </si>
  <si>
    <t>2024-04-01 04:10</t>
  </si>
  <si>
    <t xml:space="preserve"> ORD-10642 </t>
  </si>
  <si>
    <t>2024-12-12</t>
  </si>
  <si>
    <t xml:space="preserve"> 13/12/2024</t>
  </si>
  <si>
    <t>ORD-10643</t>
  </si>
  <si>
    <t>12 April 2025 05:17</t>
  </si>
  <si>
    <t xml:space="preserve"> 2025-04-16</t>
  </si>
  <si>
    <t>ORD-10644</t>
  </si>
  <si>
    <t>04/10/2024</t>
  </si>
  <si>
    <t>10-13-2024</t>
  </si>
  <si>
    <t>ORD-10645</t>
  </si>
  <si>
    <t>03/02/2023</t>
  </si>
  <si>
    <t>2023-02-07 06:38</t>
  </si>
  <si>
    <t>ORD-10646</t>
  </si>
  <si>
    <t>07-15-2023 14:41</t>
  </si>
  <si>
    <t>ORD-10647</t>
  </si>
  <si>
    <t xml:space="preserve"> 27 November 2024 19:22</t>
  </si>
  <si>
    <t>02 December 2024</t>
  </si>
  <si>
    <t>ORD-10648</t>
  </si>
  <si>
    <t xml:space="preserve">23-Aug-2023 </t>
  </si>
  <si>
    <t>31-Aug-2023 20:26</t>
  </si>
  <si>
    <t>ORD-10649</t>
  </si>
  <si>
    <t>01/06/2023 17:47</t>
  </si>
  <si>
    <t>ORD-10650</t>
  </si>
  <si>
    <t>2025-04-19</t>
  </si>
  <si>
    <t xml:space="preserve">22-Apr-2025 18:48 </t>
  </si>
  <si>
    <t xml:space="preserve"> ORD-10651 </t>
  </si>
  <si>
    <t>15 February 2023 03:03</t>
  </si>
  <si>
    <t>2023-02-22</t>
  </si>
  <si>
    <t>ORD-10652</t>
  </si>
  <si>
    <t>2024-03-31 06:20</t>
  </si>
  <si>
    <t>10 April 2024</t>
  </si>
  <si>
    <t>ORD-10653</t>
  </si>
  <si>
    <t>15 January 2025</t>
  </si>
  <si>
    <t>2025-01-25</t>
  </si>
  <si>
    <t>ORD-10654</t>
  </si>
  <si>
    <t>21-Oct-2024 18:00</t>
  </si>
  <si>
    <t>10-23-2024</t>
  </si>
  <si>
    <t>ORD-10655</t>
  </si>
  <si>
    <t xml:space="preserve">2023-10-16 01:21 </t>
  </si>
  <si>
    <t>ORD-10656</t>
  </si>
  <si>
    <t>12-Mar-2024</t>
  </si>
  <si>
    <t>03-20-2024</t>
  </si>
  <si>
    <t xml:space="preserve"> ORD-10657 </t>
  </si>
  <si>
    <t>04-03-2024 23:47</t>
  </si>
  <si>
    <t>07/04/2024 23:47</t>
  </si>
  <si>
    <t>ORD-10658</t>
  </si>
  <si>
    <t>03-25-2025</t>
  </si>
  <si>
    <t xml:space="preserve">31/03/2025 </t>
  </si>
  <si>
    <t>ORD-10659</t>
  </si>
  <si>
    <t xml:space="preserve"> 2023-08-06</t>
  </si>
  <si>
    <t>10 August 2023 22:23</t>
  </si>
  <si>
    <t xml:space="preserve"> ORD-10660 </t>
  </si>
  <si>
    <t>2023-06-11</t>
  </si>
  <si>
    <t xml:space="preserve"> 2023-06-21 05:09</t>
  </si>
  <si>
    <t>ORD-10661</t>
  </si>
  <si>
    <t>2024-07-10</t>
  </si>
  <si>
    <t xml:space="preserve">13 July 2024 </t>
  </si>
  <si>
    <t>ORD-10662</t>
  </si>
  <si>
    <t>2024-02-19</t>
  </si>
  <si>
    <t>28-Feb-2024 15:21</t>
  </si>
  <si>
    <t xml:space="preserve"> ORD-10663 </t>
  </si>
  <si>
    <t>16/10/2023</t>
  </si>
  <si>
    <t>21/10/2023</t>
  </si>
  <si>
    <t>ORD-10664</t>
  </si>
  <si>
    <t>01-19-2024</t>
  </si>
  <si>
    <t>25-Jan-2024</t>
  </si>
  <si>
    <t xml:space="preserve"> ORD-10665 </t>
  </si>
  <si>
    <t>16-Apr-2024</t>
  </si>
  <si>
    <t xml:space="preserve"> 23-Apr-2024 </t>
  </si>
  <si>
    <t>ORD-10666</t>
  </si>
  <si>
    <t xml:space="preserve"> 30/06/2023</t>
  </si>
  <si>
    <t>03 July 2023</t>
  </si>
  <si>
    <t xml:space="preserve"> ORD-10667 </t>
  </si>
  <si>
    <t xml:space="preserve">19 June 2024 </t>
  </si>
  <si>
    <t>2024-06-20</t>
  </si>
  <si>
    <t>ORD-10668</t>
  </si>
  <si>
    <t>05-20-2023</t>
  </si>
  <si>
    <t xml:space="preserve"> 23-May-2023 05:55</t>
  </si>
  <si>
    <t>ORD-10669</t>
  </si>
  <si>
    <t>03 March 2025</t>
  </si>
  <si>
    <t>03-13-2025 14:29</t>
  </si>
  <si>
    <t xml:space="preserve"> ORD-10670 </t>
  </si>
  <si>
    <t>27 December 2023 22:52</t>
  </si>
  <si>
    <t>03/01/2024</t>
  </si>
  <si>
    <t>ORD-10671</t>
  </si>
  <si>
    <t>13-May-2023</t>
  </si>
  <si>
    <t>05-22-2023</t>
  </si>
  <si>
    <t>ORD-10672</t>
  </si>
  <si>
    <t>12-27-2024 02:26</t>
  </si>
  <si>
    <t>ORD-10673</t>
  </si>
  <si>
    <t>05-24-2023</t>
  </si>
  <si>
    <t xml:space="preserve"> ORD-10674 </t>
  </si>
  <si>
    <t>2024-01-17</t>
  </si>
  <si>
    <t>2024-01-20</t>
  </si>
  <si>
    <t>ORD-10675</t>
  </si>
  <si>
    <t>29-Apr-2023</t>
  </si>
  <si>
    <t>ORD-10676</t>
  </si>
  <si>
    <t xml:space="preserve"> 27-Jun-2024 </t>
  </si>
  <si>
    <t>03/07/2024</t>
  </si>
  <si>
    <t>ORD-10677</t>
  </si>
  <si>
    <t>23/02/2023</t>
  </si>
  <si>
    <t>02-28-2023</t>
  </si>
  <si>
    <t>ORD-10678</t>
  </si>
  <si>
    <t>2023-05-24</t>
  </si>
  <si>
    <t>25-May-2023 09:15</t>
  </si>
  <si>
    <t>ORD-10679</t>
  </si>
  <si>
    <t>2024-11-06</t>
  </si>
  <si>
    <t>11-11-2024</t>
  </si>
  <si>
    <t>ORD-10680</t>
  </si>
  <si>
    <t>05-23-2023 00:50</t>
  </si>
  <si>
    <t>01-Jun-2023</t>
  </si>
  <si>
    <t>ORD-10681</t>
  </si>
  <si>
    <t>07/07/2024</t>
  </si>
  <si>
    <t>ORD-10682</t>
  </si>
  <si>
    <t>05-14-2024</t>
  </si>
  <si>
    <t>ORD-10683</t>
  </si>
  <si>
    <t>23 September 2024</t>
  </si>
  <si>
    <t>24-Sep-2024</t>
  </si>
  <si>
    <t>ORD-10684</t>
  </si>
  <si>
    <t>11-10-2023</t>
  </si>
  <si>
    <t>2023-11-12</t>
  </si>
  <si>
    <t>ORD-10685</t>
  </si>
  <si>
    <t xml:space="preserve">21-Jul-2024 </t>
  </si>
  <si>
    <t>ORD-10686</t>
  </si>
  <si>
    <t>04-27-2023</t>
  </si>
  <si>
    <t>ORD-10687</t>
  </si>
  <si>
    <t>20-Jan-2024</t>
  </si>
  <si>
    <t>22/01/2024 12:46</t>
  </si>
  <si>
    <t>ORD-10688</t>
  </si>
  <si>
    <t>19-Mar-2024</t>
  </si>
  <si>
    <t>22/03/2024</t>
  </si>
  <si>
    <t>ORD-10689</t>
  </si>
  <si>
    <t>08-09-2024</t>
  </si>
  <si>
    <t>2024-08-19</t>
  </si>
  <si>
    <t xml:space="preserve"> ORD-10690 </t>
  </si>
  <si>
    <t xml:space="preserve">10 August 2024 05:22 </t>
  </si>
  <si>
    <t xml:space="preserve">08-18-2024 </t>
  </si>
  <si>
    <t>ORD-10691</t>
  </si>
  <si>
    <t>01-Apr-2025 18:19</t>
  </si>
  <si>
    <t>04-09-2025</t>
  </si>
  <si>
    <t xml:space="preserve"> ORD-10692 </t>
  </si>
  <si>
    <t>10-Jun-2024 09:08</t>
  </si>
  <si>
    <t>ORD-10693</t>
  </si>
  <si>
    <t>12-Oct-2024</t>
  </si>
  <si>
    <t>2024-10-15</t>
  </si>
  <si>
    <t xml:space="preserve"> ORD-10694 </t>
  </si>
  <si>
    <t>02-05-2023</t>
  </si>
  <si>
    <t>13/02/2023</t>
  </si>
  <si>
    <t>ORD-10695</t>
  </si>
  <si>
    <t>07-26-2023 05:34</t>
  </si>
  <si>
    <t xml:space="preserve"> ORD-10696 </t>
  </si>
  <si>
    <t>2024-01-26</t>
  </si>
  <si>
    <t>29-Jan-2024</t>
  </si>
  <si>
    <t>ORD-10697</t>
  </si>
  <si>
    <t>19 May 2023</t>
  </si>
  <si>
    <t xml:space="preserve"> ORD-10698 </t>
  </si>
  <si>
    <t>2023-04-16</t>
  </si>
  <si>
    <t>04-18-2023 11:27</t>
  </si>
  <si>
    <t xml:space="preserve"> ORD-10699 </t>
  </si>
  <si>
    <t>12-29-2024</t>
  </si>
  <si>
    <t>02/01/2025</t>
  </si>
  <si>
    <t xml:space="preserve"> ORD-10700 </t>
  </si>
  <si>
    <t>2025-03-01 00:51</t>
  </si>
  <si>
    <t>11-Mar-2025 00:51</t>
  </si>
  <si>
    <t xml:space="preserve"> ORD-10701 </t>
  </si>
  <si>
    <t>04/12/2023 22:39</t>
  </si>
  <si>
    <t xml:space="preserve"> 13 December 2023</t>
  </si>
  <si>
    <t xml:space="preserve"> ORD-10702 </t>
  </si>
  <si>
    <t xml:space="preserve">02/03/2023 </t>
  </si>
  <si>
    <t>2023-03-10</t>
  </si>
  <si>
    <t xml:space="preserve"> ORD-10703 </t>
  </si>
  <si>
    <t>06-Aug-2023</t>
  </si>
  <si>
    <t>2023-08-13</t>
  </si>
  <si>
    <t>ORD-10704</t>
  </si>
  <si>
    <t xml:space="preserve"> 25-Feb-2025</t>
  </si>
  <si>
    <t>28 February 2025</t>
  </si>
  <si>
    <t>ORD-10705</t>
  </si>
  <si>
    <t>2023-04-25</t>
  </si>
  <si>
    <t>2023-05-05</t>
  </si>
  <si>
    <t xml:space="preserve"> ORD-10706 </t>
  </si>
  <si>
    <t>05-14-2023 06:18</t>
  </si>
  <si>
    <t xml:space="preserve"> 18/05/2023</t>
  </si>
  <si>
    <t>ORD-10707</t>
  </si>
  <si>
    <t>2023-03-22</t>
  </si>
  <si>
    <t>25 March 2023</t>
  </si>
  <si>
    <t>ORD-10708</t>
  </si>
  <si>
    <t>03/01/2024 19:56</t>
  </si>
  <si>
    <t>01-13-2024</t>
  </si>
  <si>
    <t xml:space="preserve"> ORD-10709 </t>
  </si>
  <si>
    <t>04-23-2023</t>
  </si>
  <si>
    <t>2023-05-02</t>
  </si>
  <si>
    <t xml:space="preserve"> ORD-10710 </t>
  </si>
  <si>
    <t xml:space="preserve"> 26-Jan-2025</t>
  </si>
  <si>
    <t>ORD-10711</t>
  </si>
  <si>
    <t>2023-03-11 02:05</t>
  </si>
  <si>
    <t>ORD-10712</t>
  </si>
  <si>
    <t>2024-04-17</t>
  </si>
  <si>
    <t>23 April 2024 06:53</t>
  </si>
  <si>
    <t>ORD-10713</t>
  </si>
  <si>
    <t>01/10/2024</t>
  </si>
  <si>
    <t>ORD-10714</t>
  </si>
  <si>
    <t>03-07-2025</t>
  </si>
  <si>
    <t>11 March 2025 22:51</t>
  </si>
  <si>
    <t>ORD-10715</t>
  </si>
  <si>
    <t>10-Apr-2025</t>
  </si>
  <si>
    <t>ORD-10716</t>
  </si>
  <si>
    <t>06-19-2024</t>
  </si>
  <si>
    <t xml:space="preserve"> 2024-06-21</t>
  </si>
  <si>
    <t>ORD-10717</t>
  </si>
  <si>
    <t>30/01/2023</t>
  </si>
  <si>
    <t>02 February 2023</t>
  </si>
  <si>
    <t>ORD-10718</t>
  </si>
  <si>
    <t xml:space="preserve"> 2025-03-15</t>
  </si>
  <si>
    <t xml:space="preserve">22-Mar-2025 </t>
  </si>
  <si>
    <t>ORD-10719</t>
  </si>
  <si>
    <t>22-Jan-2024</t>
  </si>
  <si>
    <t>2024-01-29</t>
  </si>
  <si>
    <t xml:space="preserve"> ORD-10720 </t>
  </si>
  <si>
    <t>27/06/2023</t>
  </si>
  <si>
    <t>06-29-2023</t>
  </si>
  <si>
    <t>ORD-10721</t>
  </si>
  <si>
    <t>02 May 2024</t>
  </si>
  <si>
    <t>03/05/2024</t>
  </si>
  <si>
    <t>ORD-10722</t>
  </si>
  <si>
    <t>07-19-2023</t>
  </si>
  <si>
    <t>23-Jul-2023</t>
  </si>
  <si>
    <t xml:space="preserve"> ORD-10723 </t>
  </si>
  <si>
    <t>25-Nov-2024</t>
  </si>
  <si>
    <t>ORD-10724</t>
  </si>
  <si>
    <t>19 June 2023</t>
  </si>
  <si>
    <t>27/06/2023 12:08</t>
  </si>
  <si>
    <t>ORD-10725</t>
  </si>
  <si>
    <t>23 December 2023</t>
  </si>
  <si>
    <t>25 December 2023</t>
  </si>
  <si>
    <t xml:space="preserve"> ORD-10726 </t>
  </si>
  <si>
    <t>04-Jan-2024</t>
  </si>
  <si>
    <t>08 January 2024</t>
  </si>
  <si>
    <t>ORD-10727</t>
  </si>
  <si>
    <t xml:space="preserve"> 05/03/2025 22:15</t>
  </si>
  <si>
    <t xml:space="preserve">08 March 2025 </t>
  </si>
  <si>
    <t>ORD-10728</t>
  </si>
  <si>
    <t>2025-02-04</t>
  </si>
  <si>
    <t>05 February 2025</t>
  </si>
  <si>
    <t>ORD-10729</t>
  </si>
  <si>
    <t>15-Jan-2023 10:27</t>
  </si>
  <si>
    <t>22/01/2023 10:27</t>
  </si>
  <si>
    <t>ORD-10730</t>
  </si>
  <si>
    <t>10-Sep-2024</t>
  </si>
  <si>
    <t>ORD-10731</t>
  </si>
  <si>
    <t>25 December 2024</t>
  </si>
  <si>
    <t>2025-01-01</t>
  </si>
  <si>
    <t xml:space="preserve"> ORD-10732 </t>
  </si>
  <si>
    <t>22 August 2023 18:31</t>
  </si>
  <si>
    <t>29-Aug-2023</t>
  </si>
  <si>
    <t xml:space="preserve"> ORD-10733 </t>
  </si>
  <si>
    <t>04/07/2024</t>
  </si>
  <si>
    <t>ORD-10734</t>
  </si>
  <si>
    <t>02-18-2025</t>
  </si>
  <si>
    <t>22-Feb-2025</t>
  </si>
  <si>
    <t xml:space="preserve"> ORD-10735 </t>
  </si>
  <si>
    <t>02 August 2023 08:14</t>
  </si>
  <si>
    <t>2023-08-08</t>
  </si>
  <si>
    <t xml:space="preserve"> ORD-10736 </t>
  </si>
  <si>
    <t>2024-01-04 18:22</t>
  </si>
  <si>
    <t>2024-01-12</t>
  </si>
  <si>
    <t>ORD-10737</t>
  </si>
  <si>
    <t>01 June 2024 19:18</t>
  </si>
  <si>
    <t>06-02-2024</t>
  </si>
  <si>
    <t>ORD-10738</t>
  </si>
  <si>
    <t>20-Nov-2024</t>
  </si>
  <si>
    <t>23 November 2024</t>
  </si>
  <si>
    <t>ORD-10739</t>
  </si>
  <si>
    <t>11-19-2024</t>
  </si>
  <si>
    <t>21/11/2024</t>
  </si>
  <si>
    <t>ORD-10740</t>
  </si>
  <si>
    <t xml:space="preserve"> 15/02/2024</t>
  </si>
  <si>
    <t xml:space="preserve">2024-02-24 </t>
  </si>
  <si>
    <t>ORD-10741</t>
  </si>
  <si>
    <t>2024-07-01</t>
  </si>
  <si>
    <t xml:space="preserve"> ORD-10742 </t>
  </si>
  <si>
    <t>26-Aug-2024</t>
  </si>
  <si>
    <t>29 August 2024</t>
  </si>
  <si>
    <t xml:space="preserve"> ORD-10743 </t>
  </si>
  <si>
    <t>20/03/2023 08:44</t>
  </si>
  <si>
    <t xml:space="preserve"> 24/03/2023</t>
  </si>
  <si>
    <t xml:space="preserve"> ORD-10744 </t>
  </si>
  <si>
    <t>08-17-2023 08:45</t>
  </si>
  <si>
    <t>08-20-2023</t>
  </si>
  <si>
    <t>ORD-10745</t>
  </si>
  <si>
    <t>17-Jan-2025</t>
  </si>
  <si>
    <t xml:space="preserve"> ORD-10746 </t>
  </si>
  <si>
    <t>21-Mar-2024 05:02</t>
  </si>
  <si>
    <t xml:space="preserve"> ORD-10747 </t>
  </si>
  <si>
    <t>11-26-2023 03:16</t>
  </si>
  <si>
    <t>01/12/2023</t>
  </si>
  <si>
    <t xml:space="preserve"> ORD-10748 </t>
  </si>
  <si>
    <t xml:space="preserve"> 10-29-2024</t>
  </si>
  <si>
    <t>11-03-2024</t>
  </si>
  <si>
    <t>ORD-10749</t>
  </si>
  <si>
    <t>17 June 2024</t>
  </si>
  <si>
    <t xml:space="preserve"> ORD-10750 </t>
  </si>
  <si>
    <t xml:space="preserve">16 May 2025 </t>
  </si>
  <si>
    <t>2025-05-24</t>
  </si>
  <si>
    <t>ORD-10751</t>
  </si>
  <si>
    <t>2024-09-13</t>
  </si>
  <si>
    <t>20/09/2024 02:54</t>
  </si>
  <si>
    <t xml:space="preserve"> ORD-10752 </t>
  </si>
  <si>
    <t>01-16-2024</t>
  </si>
  <si>
    <t>25/01/2024</t>
  </si>
  <si>
    <t>ORD-10753</t>
  </si>
  <si>
    <t>31-Mar-2024 04:12</t>
  </si>
  <si>
    <t>2024-04-01</t>
  </si>
  <si>
    <t>ORD-10754</t>
  </si>
  <si>
    <t xml:space="preserve"> 04-22-2024</t>
  </si>
  <si>
    <t>04-24-2024</t>
  </si>
  <si>
    <t>ORD-10755</t>
  </si>
  <si>
    <t>10/08/2024</t>
  </si>
  <si>
    <t xml:space="preserve">08-12-2024 </t>
  </si>
  <si>
    <t>ORD-10756</t>
  </si>
  <si>
    <t>07/05/2025</t>
  </si>
  <si>
    <t>2025-05-12</t>
  </si>
  <si>
    <t>ORD-10757</t>
  </si>
  <si>
    <t>09-Jun-2025</t>
  </si>
  <si>
    <t>06-11-2025</t>
  </si>
  <si>
    <t>ORD-10758</t>
  </si>
  <si>
    <t>21-Jan-2025</t>
  </si>
  <si>
    <t>24 January 2025</t>
  </si>
  <si>
    <t>ORD-10759</t>
  </si>
  <si>
    <t>ORD-10760</t>
  </si>
  <si>
    <t>ORD-10761</t>
  </si>
  <si>
    <t xml:space="preserve">05-24-2024 </t>
  </si>
  <si>
    <t>28 May 2024</t>
  </si>
  <si>
    <t>ORD-10762</t>
  </si>
  <si>
    <t>14 March 2024</t>
  </si>
  <si>
    <t>ORD-10763</t>
  </si>
  <si>
    <t>29/01/2024</t>
  </si>
  <si>
    <t>06/02/2024</t>
  </si>
  <si>
    <t xml:space="preserve"> ORD-10764 </t>
  </si>
  <si>
    <t>07-Apr-2023</t>
  </si>
  <si>
    <t>15-Apr-2023</t>
  </si>
  <si>
    <t>ORD-10765</t>
  </si>
  <si>
    <t>29-Sep-2023</t>
  </si>
  <si>
    <t xml:space="preserve"> 09/10/2023</t>
  </si>
  <si>
    <t>ORD-10766</t>
  </si>
  <si>
    <t>24-May-2023 03:39</t>
  </si>
  <si>
    <t>25/05/2023</t>
  </si>
  <si>
    <t>ORD-10767</t>
  </si>
  <si>
    <t>04-30-2024</t>
  </si>
  <si>
    <t>05-04-2024 14:54</t>
  </si>
  <si>
    <t>ORD-10768</t>
  </si>
  <si>
    <t>11-15-2024</t>
  </si>
  <si>
    <t xml:space="preserve">18 November 2024 </t>
  </si>
  <si>
    <t xml:space="preserve"> ORD-10769 </t>
  </si>
  <si>
    <t xml:space="preserve">05 February 2025 15:41 </t>
  </si>
  <si>
    <t>15-Feb-2025</t>
  </si>
  <si>
    <t>ORD-10770</t>
  </si>
  <si>
    <t>16/05/2023</t>
  </si>
  <si>
    <t>23-May-2023 02:56</t>
  </si>
  <si>
    <t>ORD-10771</t>
  </si>
  <si>
    <t xml:space="preserve"> ORD-10772 </t>
  </si>
  <si>
    <t xml:space="preserve"> 14-Aug-2024</t>
  </si>
  <si>
    <t>ORD-10773</t>
  </si>
  <si>
    <t>29-Mar-2025 14:55</t>
  </si>
  <si>
    <t xml:space="preserve"> ORD-10774 </t>
  </si>
  <si>
    <t>03 November 2024</t>
  </si>
  <si>
    <t>09/11/2024</t>
  </si>
  <si>
    <t>ORD-10775</t>
  </si>
  <si>
    <t xml:space="preserve">02-10-2023 </t>
  </si>
  <si>
    <t>02-18-2023</t>
  </si>
  <si>
    <t>ORD-10776</t>
  </si>
  <si>
    <t>20/04/2025</t>
  </si>
  <si>
    <t>26/04/2025</t>
  </si>
  <si>
    <t>ORD-10777</t>
  </si>
  <si>
    <t>22-Jun-2024 03:41</t>
  </si>
  <si>
    <t>ORD-10778</t>
  </si>
  <si>
    <t xml:space="preserve">2023-07-12 </t>
  </si>
  <si>
    <t>17 July 2023</t>
  </si>
  <si>
    <t>ORD-10779</t>
  </si>
  <si>
    <t>03-Apr-2024</t>
  </si>
  <si>
    <t xml:space="preserve">04-12-2024 </t>
  </si>
  <si>
    <t>ORD-10780</t>
  </si>
  <si>
    <t xml:space="preserve"> 18/01/2023 04:10</t>
  </si>
  <si>
    <t>ORD-10781</t>
  </si>
  <si>
    <t xml:space="preserve">20/05/2024 </t>
  </si>
  <si>
    <t xml:space="preserve">22/05/2024 </t>
  </si>
  <si>
    <t>ORD-10782</t>
  </si>
  <si>
    <t>04-Sep-2024</t>
  </si>
  <si>
    <t xml:space="preserve"> 09-13-2024</t>
  </si>
  <si>
    <t>ORD-10783</t>
  </si>
  <si>
    <t xml:space="preserve"> 2025-06-07</t>
  </si>
  <si>
    <t xml:space="preserve"> 06-15-2025</t>
  </si>
  <si>
    <t xml:space="preserve"> ORD-10784 </t>
  </si>
  <si>
    <t>20-Jan-2023</t>
  </si>
  <si>
    <t>29-Jan-2023</t>
  </si>
  <si>
    <t>ORD-10785</t>
  </si>
  <si>
    <t>14 October 2023</t>
  </si>
  <si>
    <t>10-23-2023</t>
  </si>
  <si>
    <t xml:space="preserve"> ORD-10786 </t>
  </si>
  <si>
    <t>07-30-2024 01:59</t>
  </si>
  <si>
    <t>31 July 2024</t>
  </si>
  <si>
    <t xml:space="preserve"> ORD-10787 </t>
  </si>
  <si>
    <t>18/05/2023</t>
  </si>
  <si>
    <t>19-May-2023</t>
  </si>
  <si>
    <t>ORD-10788</t>
  </si>
  <si>
    <t>16/05/2025</t>
  </si>
  <si>
    <t>05-25-2025 00:27</t>
  </si>
  <si>
    <t>ORD-10789</t>
  </si>
  <si>
    <t xml:space="preserve">2025-01-21 </t>
  </si>
  <si>
    <t>31-Jan-2025</t>
  </si>
  <si>
    <t>ORD-10790</t>
  </si>
  <si>
    <t>03-08-2025 10:41</t>
  </si>
  <si>
    <t>2025-03-09</t>
  </si>
  <si>
    <t>ORD-10791</t>
  </si>
  <si>
    <t>03/08/2023</t>
  </si>
  <si>
    <t>07/08/2023</t>
  </si>
  <si>
    <t xml:space="preserve"> ORD-10792 </t>
  </si>
  <si>
    <t>04/08/2023</t>
  </si>
  <si>
    <t>06/08/2023 03:56</t>
  </si>
  <si>
    <t xml:space="preserve"> ORD-10793 </t>
  </si>
  <si>
    <t xml:space="preserve"> 12 September 2023 04:59</t>
  </si>
  <si>
    <t>ORD-10794</t>
  </si>
  <si>
    <t>11-Jun-2023</t>
  </si>
  <si>
    <t xml:space="preserve"> 13 June 2023</t>
  </si>
  <si>
    <t>ORD-10795</t>
  </si>
  <si>
    <t>01-Feb-2023</t>
  </si>
  <si>
    <t xml:space="preserve"> 06 February 2023</t>
  </si>
  <si>
    <t>ORD-10796</t>
  </si>
  <si>
    <t xml:space="preserve"> 05-07-2025</t>
  </si>
  <si>
    <t>2025-05-17 09:45</t>
  </si>
  <si>
    <t xml:space="preserve"> ORD-10797 </t>
  </si>
  <si>
    <t>01-Jan-2024 21:45</t>
  </si>
  <si>
    <t>09 January 2024</t>
  </si>
  <si>
    <t>ORD-10798</t>
  </si>
  <si>
    <t>22-Apr-2025</t>
  </si>
  <si>
    <t>28 April 2025</t>
  </si>
  <si>
    <t xml:space="preserve"> ORD-10799 </t>
  </si>
  <si>
    <t xml:space="preserve"> 30-Jun-2023 </t>
  </si>
  <si>
    <t xml:space="preserve"> ORD-10800 </t>
  </si>
  <si>
    <t>2024-02-22 13:08</t>
  </si>
  <si>
    <t>2024-02-27</t>
  </si>
  <si>
    <t xml:space="preserve"> ORD-10801 </t>
  </si>
  <si>
    <t>20-Mar-2025</t>
  </si>
  <si>
    <t xml:space="preserve"> 03-27-2025</t>
  </si>
  <si>
    <t>ORD-10802</t>
  </si>
  <si>
    <t>03-24-2025</t>
  </si>
  <si>
    <t>03-28-2025</t>
  </si>
  <si>
    <t>ORD-10803</t>
  </si>
  <si>
    <t>02 April 2025</t>
  </si>
  <si>
    <t>12 April 2025 00:07</t>
  </si>
  <si>
    <t xml:space="preserve"> ORD-10804 </t>
  </si>
  <si>
    <t>03-Dec-2023 17:58</t>
  </si>
  <si>
    <t>ORD-10805</t>
  </si>
  <si>
    <t>21 February 2025</t>
  </si>
  <si>
    <t>22/02/2025</t>
  </si>
  <si>
    <t>ORD-10806</t>
  </si>
  <si>
    <t>30/08/2023</t>
  </si>
  <si>
    <t>09-05-2023</t>
  </si>
  <si>
    <t>ORD-10807</t>
  </si>
  <si>
    <t>08/03/2024</t>
  </si>
  <si>
    <t>17 March 2024</t>
  </si>
  <si>
    <t>ORD-10808</t>
  </si>
  <si>
    <t>2024-05-29</t>
  </si>
  <si>
    <t>06-03-2024</t>
  </si>
  <si>
    <t>ORD-10809</t>
  </si>
  <si>
    <t>09-Apr-2023</t>
  </si>
  <si>
    <t xml:space="preserve"> 18 April 2023 06:22</t>
  </si>
  <si>
    <t>ORD-10810</t>
  </si>
  <si>
    <t>08-02-2024</t>
  </si>
  <si>
    <t>03 August 2024</t>
  </si>
  <si>
    <t>ORD-10811</t>
  </si>
  <si>
    <t>21-May-2023</t>
  </si>
  <si>
    <t xml:space="preserve"> 23-May-2023</t>
  </si>
  <si>
    <t>ORD-10812</t>
  </si>
  <si>
    <t xml:space="preserve"> 20/08/2024</t>
  </si>
  <si>
    <t>28/08/2024 00:25</t>
  </si>
  <si>
    <t xml:space="preserve"> ORD-10813 </t>
  </si>
  <si>
    <t xml:space="preserve">07 March 2025 </t>
  </si>
  <si>
    <t xml:space="preserve"> ORD-10814 </t>
  </si>
  <si>
    <t xml:space="preserve"> 17-Jan-2025</t>
  </si>
  <si>
    <t>01-19-2025</t>
  </si>
  <si>
    <t>ORD-10815</t>
  </si>
  <si>
    <t>ORD-10816</t>
  </si>
  <si>
    <t>16 November 2023</t>
  </si>
  <si>
    <t>11-17-2023 00:14</t>
  </si>
  <si>
    <t xml:space="preserve"> ORD-10817 </t>
  </si>
  <si>
    <t xml:space="preserve"> 25/01/2025 08:55 </t>
  </si>
  <si>
    <t xml:space="preserve"> ORD-10818 </t>
  </si>
  <si>
    <t>16-Mar-2023</t>
  </si>
  <si>
    <t>03-22-2023</t>
  </si>
  <si>
    <t xml:space="preserve"> ORD-10819 </t>
  </si>
  <si>
    <t>2024-02-17</t>
  </si>
  <si>
    <t>20 February 2024</t>
  </si>
  <si>
    <t xml:space="preserve"> ORD-10820 </t>
  </si>
  <si>
    <t xml:space="preserve">2023-07-14 </t>
  </si>
  <si>
    <t>ORD-10821</t>
  </si>
  <si>
    <t>14 January 2024</t>
  </si>
  <si>
    <t>15 January 2024</t>
  </si>
  <si>
    <t>ORD-10822</t>
  </si>
  <si>
    <t>11-09-2023 09:04</t>
  </si>
  <si>
    <t>ORD-10823</t>
  </si>
  <si>
    <t>04 April 2024</t>
  </si>
  <si>
    <t>ORD-10824</t>
  </si>
  <si>
    <t>25/03/2025</t>
  </si>
  <si>
    <t>27 March 2025</t>
  </si>
  <si>
    <t xml:space="preserve"> ORD-10825 </t>
  </si>
  <si>
    <t>10-18-2023</t>
  </si>
  <si>
    <t xml:space="preserve"> ORD-10826 </t>
  </si>
  <si>
    <t>12 May 2023 07:16</t>
  </si>
  <si>
    <t xml:space="preserve"> ORD-10827 </t>
  </si>
  <si>
    <t>02-11-2024</t>
  </si>
  <si>
    <t>ORD-10828</t>
  </si>
  <si>
    <t xml:space="preserve">04 July 2024 </t>
  </si>
  <si>
    <t>ORD-10829</t>
  </si>
  <si>
    <t>2025-03-20 05:51</t>
  </si>
  <si>
    <t xml:space="preserve"> ORD-10830 </t>
  </si>
  <si>
    <t>02-Mar-2025 13:56</t>
  </si>
  <si>
    <t xml:space="preserve"> ORD-10831 </t>
  </si>
  <si>
    <t>21/05/2023</t>
  </si>
  <si>
    <t>05-29-2023</t>
  </si>
  <si>
    <t>ORD-10832</t>
  </si>
  <si>
    <t>04-24-2024 15:16</t>
  </si>
  <si>
    <t xml:space="preserve"> ORD-10833 </t>
  </si>
  <si>
    <t>09-Jun-2024 18:11</t>
  </si>
  <si>
    <t>12-Jun-2024</t>
  </si>
  <si>
    <t>ORD-10834</t>
  </si>
  <si>
    <t>16/02/2023</t>
  </si>
  <si>
    <t>17/02/2023 02:48</t>
  </si>
  <si>
    <t xml:space="preserve"> ORD-10835 </t>
  </si>
  <si>
    <t>22-Nov-2023</t>
  </si>
  <si>
    <t>ORD-10836</t>
  </si>
  <si>
    <t>15 July 2024 11:56</t>
  </si>
  <si>
    <t>25-Jul-2024</t>
  </si>
  <si>
    <t>ORD-10837</t>
  </si>
  <si>
    <t>2025-04-14</t>
  </si>
  <si>
    <t>04-23-2025</t>
  </si>
  <si>
    <t xml:space="preserve"> ORD-10838 </t>
  </si>
  <si>
    <t>2024-05-18</t>
  </si>
  <si>
    <t>19/05/2024</t>
  </si>
  <si>
    <t>ORD-10839</t>
  </si>
  <si>
    <t>13-Jun-2025 09:53</t>
  </si>
  <si>
    <t>2025-06-19</t>
  </si>
  <si>
    <t>ORD-10840</t>
  </si>
  <si>
    <t>11 August 2024</t>
  </si>
  <si>
    <t>ORD-10841</t>
  </si>
  <si>
    <t>10-09-2023</t>
  </si>
  <si>
    <t>18/10/2023 05:47</t>
  </si>
  <si>
    <t>ORD-10842</t>
  </si>
  <si>
    <t>2025-06-08</t>
  </si>
  <si>
    <t>17-Jun-2025</t>
  </si>
  <si>
    <t>ORD-10843</t>
  </si>
  <si>
    <t xml:space="preserve"> ORD-10844 </t>
  </si>
  <si>
    <t>2024-07-19</t>
  </si>
  <si>
    <t>21-Jul-2024</t>
  </si>
  <si>
    <t>ORD-10845</t>
  </si>
  <si>
    <t>13-Jan-2024 20:53</t>
  </si>
  <si>
    <t>15-Jan-2024</t>
  </si>
  <si>
    <t>ORD-10846</t>
  </si>
  <si>
    <t>04-Aug-2024</t>
  </si>
  <si>
    <t xml:space="preserve"> 08-Aug-2024</t>
  </si>
  <si>
    <t>ORD-10847</t>
  </si>
  <si>
    <t>10-09-2024</t>
  </si>
  <si>
    <t>18/10/2024</t>
  </si>
  <si>
    <t>ORD-10848</t>
  </si>
  <si>
    <t>10-03-2024 11:42</t>
  </si>
  <si>
    <t xml:space="preserve"> 04 October 2024</t>
  </si>
  <si>
    <t xml:space="preserve"> ORD-10849 </t>
  </si>
  <si>
    <t xml:space="preserve">12 February 2025 10:45 </t>
  </si>
  <si>
    <t>ORD-10850</t>
  </si>
  <si>
    <t xml:space="preserve">2023-03-16 </t>
  </si>
  <si>
    <t>24-Mar-2023 17:21</t>
  </si>
  <si>
    <t>ORD-10851</t>
  </si>
  <si>
    <t>19-Sep-2023</t>
  </si>
  <si>
    <t>21/09/2023</t>
  </si>
  <si>
    <t>ORD-10852</t>
  </si>
  <si>
    <t>30-Oct-2024</t>
  </si>
  <si>
    <t>06/11/2024</t>
  </si>
  <si>
    <t>ORD-10853</t>
  </si>
  <si>
    <t>21 November 2023 15:27</t>
  </si>
  <si>
    <t>2023-12-01</t>
  </si>
  <si>
    <t>ORD-10854</t>
  </si>
  <si>
    <t>06-10-2023</t>
  </si>
  <si>
    <t>15 June 2023</t>
  </si>
  <si>
    <t>ORD-10855</t>
  </si>
  <si>
    <t>03-16-2024 20:17</t>
  </si>
  <si>
    <t xml:space="preserve">20/03/2024 </t>
  </si>
  <si>
    <t>ORD-10856</t>
  </si>
  <si>
    <t>12-23-2024</t>
  </si>
  <si>
    <t xml:space="preserve"> 28 December 2024</t>
  </si>
  <si>
    <t>ORD-10857</t>
  </si>
  <si>
    <t xml:space="preserve">2023-07-14 06:46 </t>
  </si>
  <si>
    <t xml:space="preserve"> 19-Jul-2023</t>
  </si>
  <si>
    <t>ORD-10858</t>
  </si>
  <si>
    <t>16 December 2023 16:52</t>
  </si>
  <si>
    <t>ORD-10859</t>
  </si>
  <si>
    <t>28 August 2023</t>
  </si>
  <si>
    <t>ORD-10860</t>
  </si>
  <si>
    <t>2024-12-27</t>
  </si>
  <si>
    <t xml:space="preserve"> ORD-10861 </t>
  </si>
  <si>
    <t>2024-02-20</t>
  </si>
  <si>
    <t>ORD-10862</t>
  </si>
  <si>
    <t>2025-05-29 18:38</t>
  </si>
  <si>
    <t xml:space="preserve"> 06-05-2025 </t>
  </si>
  <si>
    <t xml:space="preserve"> ORD-10863 </t>
  </si>
  <si>
    <t>14-Jun-2025</t>
  </si>
  <si>
    <t>16-Jun-2025</t>
  </si>
  <si>
    <t>ORD-10864</t>
  </si>
  <si>
    <t>2023-12-21</t>
  </si>
  <si>
    <t>25/12/2023 08:49</t>
  </si>
  <si>
    <t>ORD-10865</t>
  </si>
  <si>
    <t xml:space="preserve">12-16-2024 02:55 </t>
  </si>
  <si>
    <t>17 December 2024</t>
  </si>
  <si>
    <t>ORD-10866</t>
  </si>
  <si>
    <t>22/06/2024</t>
  </si>
  <si>
    <t>30/06/2024 04:55</t>
  </si>
  <si>
    <t>ORD-10867</t>
  </si>
  <si>
    <t>29 November 2023</t>
  </si>
  <si>
    <t xml:space="preserve"> ORD-10868 </t>
  </si>
  <si>
    <t>2023-03-27</t>
  </si>
  <si>
    <t>ORD-10869</t>
  </si>
  <si>
    <t>19/11/2024</t>
  </si>
  <si>
    <t>2024-11-27</t>
  </si>
  <si>
    <t>ORD-10870</t>
  </si>
  <si>
    <t>07 October 2024 20:17</t>
  </si>
  <si>
    <t>15/10/2024 20:17</t>
  </si>
  <si>
    <t xml:space="preserve"> ORD-10871 </t>
  </si>
  <si>
    <t>12/09/2023 22:46</t>
  </si>
  <si>
    <t>2023-09-18</t>
  </si>
  <si>
    <t xml:space="preserve"> ORD-10872 </t>
  </si>
  <si>
    <t>2024-11-29 19:59</t>
  </si>
  <si>
    <t>12-03-2024 19:59</t>
  </si>
  <si>
    <t xml:space="preserve"> ORD-10873 </t>
  </si>
  <si>
    <t>23-Aug-2024 02:40</t>
  </si>
  <si>
    <t>30-Aug-2024 02:40</t>
  </si>
  <si>
    <t xml:space="preserve"> ORD-10874 </t>
  </si>
  <si>
    <t>ORD-10875</t>
  </si>
  <si>
    <t>10-Dec-2023</t>
  </si>
  <si>
    <t>20 December 2023</t>
  </si>
  <si>
    <t>ORD-10876</t>
  </si>
  <si>
    <t>ORD-10877</t>
  </si>
  <si>
    <t>03-15-2023</t>
  </si>
  <si>
    <t xml:space="preserve"> ORD-10878 </t>
  </si>
  <si>
    <t xml:space="preserve">2024-07-17 </t>
  </si>
  <si>
    <t>19-Jul-2024 08:28</t>
  </si>
  <si>
    <t>ORD-10879</t>
  </si>
  <si>
    <t>2024-03-25</t>
  </si>
  <si>
    <t>31/03/2024</t>
  </si>
  <si>
    <t>ORD-10880</t>
  </si>
  <si>
    <t xml:space="preserve">2023-05-03 07:09 </t>
  </si>
  <si>
    <t xml:space="preserve"> 07-May-2023 07:09</t>
  </si>
  <si>
    <t xml:space="preserve"> ORD-10881 </t>
  </si>
  <si>
    <t>21 July 2023 19:10</t>
  </si>
  <si>
    <t xml:space="preserve"> 22-Jul-2023 19:10</t>
  </si>
  <si>
    <t>ORD-10882</t>
  </si>
  <si>
    <t>05-02-2025</t>
  </si>
  <si>
    <t xml:space="preserve"> ORD-10883 </t>
  </si>
  <si>
    <t>2023-03-14 02:52</t>
  </si>
  <si>
    <t>ORD-10884</t>
  </si>
  <si>
    <t>12-08-2023 18:39</t>
  </si>
  <si>
    <t xml:space="preserve"> ORD-10885 </t>
  </si>
  <si>
    <t>07-Jan-2023</t>
  </si>
  <si>
    <t>ORD-10886</t>
  </si>
  <si>
    <t>03/08/2023 17:36</t>
  </si>
  <si>
    <t>07-Aug-2023</t>
  </si>
  <si>
    <t>ORD-10887</t>
  </si>
  <si>
    <t>24/06/2023</t>
  </si>
  <si>
    <t>ORD-10888</t>
  </si>
  <si>
    <t>2024-12-18</t>
  </si>
  <si>
    <t>21 December 2024</t>
  </si>
  <si>
    <t>ORD-10889</t>
  </si>
  <si>
    <t xml:space="preserve"> 17/02/2025</t>
  </si>
  <si>
    <t>02-26-2025 02:06</t>
  </si>
  <si>
    <t>ORD-10890</t>
  </si>
  <si>
    <t>28/01/2023</t>
  </si>
  <si>
    <t xml:space="preserve">29-Jan-2023 14:07 </t>
  </si>
  <si>
    <t xml:space="preserve"> ORD-10891 </t>
  </si>
  <si>
    <t xml:space="preserve"> 03-28-2025</t>
  </si>
  <si>
    <t>ORD-10892</t>
  </si>
  <si>
    <t xml:space="preserve"> ORD-10893 </t>
  </si>
  <si>
    <t>22/05/2023 18:53</t>
  </si>
  <si>
    <t xml:space="preserve"> ORD-10894 </t>
  </si>
  <si>
    <t xml:space="preserve">02-Mar-2023 </t>
  </si>
  <si>
    <t>11 March 2023</t>
  </si>
  <si>
    <t>ORD-10895</t>
  </si>
  <si>
    <t>17 May 2023 16:05</t>
  </si>
  <si>
    <t xml:space="preserve"> 2023-05-20</t>
  </si>
  <si>
    <t xml:space="preserve"> ORD-10896 </t>
  </si>
  <si>
    <t xml:space="preserve">05/02/2024 </t>
  </si>
  <si>
    <t>02-14-2024</t>
  </si>
  <si>
    <t>ORD-10897</t>
  </si>
  <si>
    <t>29-Oct-2024 09:14</t>
  </si>
  <si>
    <t xml:space="preserve"> 05 November 2024 09:14</t>
  </si>
  <si>
    <t>ORD-10898</t>
  </si>
  <si>
    <t>17 October 2023</t>
  </si>
  <si>
    <t xml:space="preserve"> ORD-10899 </t>
  </si>
  <si>
    <t>2024-02-10 04:04</t>
  </si>
  <si>
    <t>ORD-10900</t>
  </si>
  <si>
    <t>02/09/2023</t>
  </si>
  <si>
    <t>2023-09-05</t>
  </si>
  <si>
    <t>ORD-10901</t>
  </si>
  <si>
    <t xml:space="preserve"> 13-Mar-2025</t>
  </si>
  <si>
    <t xml:space="preserve"> ORD-10902 </t>
  </si>
  <si>
    <t>07-11-2023</t>
  </si>
  <si>
    <t>15/07/2023</t>
  </si>
  <si>
    <t xml:space="preserve"> ORD-10903 </t>
  </si>
  <si>
    <t>2024-01-01</t>
  </si>
  <si>
    <t>02-Jan-2024</t>
  </si>
  <si>
    <t xml:space="preserve"> ORD-10904 </t>
  </si>
  <si>
    <t xml:space="preserve"> 05-Jan-2025</t>
  </si>
  <si>
    <t xml:space="preserve"> ORD-10905 </t>
  </si>
  <si>
    <t>2023-03-21 04:09</t>
  </si>
  <si>
    <t>03-29-2023</t>
  </si>
  <si>
    <t>ORD-10906</t>
  </si>
  <si>
    <t>09 January 2024 22:27</t>
  </si>
  <si>
    <t xml:space="preserve">01-13-2024 </t>
  </si>
  <si>
    <t>ORD-10907</t>
  </si>
  <si>
    <t>10 February 2024 08:47</t>
  </si>
  <si>
    <t>15/02/2024</t>
  </si>
  <si>
    <t xml:space="preserve"> ORD-10908 </t>
  </si>
  <si>
    <t>09/07/2023</t>
  </si>
  <si>
    <t>19/07/2023</t>
  </si>
  <si>
    <t>ORD-10909</t>
  </si>
  <si>
    <t xml:space="preserve">13/08/2024 </t>
  </si>
  <si>
    <t>2024-08-23 12:04</t>
  </si>
  <si>
    <t xml:space="preserve"> ORD-10910 </t>
  </si>
  <si>
    <t>01-Mar-2023</t>
  </si>
  <si>
    <t>ORD-10911</t>
  </si>
  <si>
    <t>11/10/2024 06:00</t>
  </si>
  <si>
    <t>ORD-10912</t>
  </si>
  <si>
    <t>08-01-2024</t>
  </si>
  <si>
    <t xml:space="preserve">07-Aug-2024 </t>
  </si>
  <si>
    <t xml:space="preserve"> ORD-10913 </t>
  </si>
  <si>
    <t>05 August 2024</t>
  </si>
  <si>
    <t>ORD-10914</t>
  </si>
  <si>
    <t>18-Feb-2025</t>
  </si>
  <si>
    <t>02-28-2025</t>
  </si>
  <si>
    <t>ORD-10915</t>
  </si>
  <si>
    <t xml:space="preserve">09-Jul-2024 </t>
  </si>
  <si>
    <t>16 July 2024</t>
  </si>
  <si>
    <t>ORD-10916</t>
  </si>
  <si>
    <t xml:space="preserve">03-Sep-2023 13:42 </t>
  </si>
  <si>
    <t>09-07-2023</t>
  </si>
  <si>
    <t>ORD-10917</t>
  </si>
  <si>
    <t>ORD-10918</t>
  </si>
  <si>
    <t>2024-02-24 00:17</t>
  </si>
  <si>
    <t>ORD-10919</t>
  </si>
  <si>
    <t>02-Nov-2024</t>
  </si>
  <si>
    <t>2024-11-05</t>
  </si>
  <si>
    <t>ORD-10920</t>
  </si>
  <si>
    <t xml:space="preserve"> 06-22-2023</t>
  </si>
  <si>
    <t>2023-06-25 22:16</t>
  </si>
  <si>
    <t>ORD-10921</t>
  </si>
  <si>
    <t>23-Apr-2023</t>
  </si>
  <si>
    <t>ORD-10922</t>
  </si>
  <si>
    <t>27-Aug-2024</t>
  </si>
  <si>
    <t>01/09/2024</t>
  </si>
  <si>
    <t>ORD-10923</t>
  </si>
  <si>
    <t>ORD-10924</t>
  </si>
  <si>
    <t>12/03/2025</t>
  </si>
  <si>
    <t>ORD-10925</t>
  </si>
  <si>
    <t xml:space="preserve">08-20-2024 19:47 </t>
  </si>
  <si>
    <t xml:space="preserve"> 26/08/2024</t>
  </si>
  <si>
    <t xml:space="preserve"> ORD-10926 </t>
  </si>
  <si>
    <t>12/05/2023</t>
  </si>
  <si>
    <t>2023-05-15 11:51</t>
  </si>
  <si>
    <t>ORD-10927</t>
  </si>
  <si>
    <t>2023-11-01</t>
  </si>
  <si>
    <t>05-Nov-2023</t>
  </si>
  <si>
    <t>ORD-10928</t>
  </si>
  <si>
    <t xml:space="preserve"> 01 June 2025 08:52</t>
  </si>
  <si>
    <t xml:space="preserve">06-07-2025 </t>
  </si>
  <si>
    <t xml:space="preserve"> ORD-10929 </t>
  </si>
  <si>
    <t>11-13-2024</t>
  </si>
  <si>
    <t>ORD-10930</t>
  </si>
  <si>
    <t>2024-05-15</t>
  </si>
  <si>
    <t>18/05/2024</t>
  </si>
  <si>
    <t>ORD-10931</t>
  </si>
  <si>
    <t>24-Aug-2023 17:33</t>
  </si>
  <si>
    <t>28-Aug-2023</t>
  </si>
  <si>
    <t xml:space="preserve"> ORD-10932 </t>
  </si>
  <si>
    <t>ORD-10933</t>
  </si>
  <si>
    <t>08/04/2024</t>
  </si>
  <si>
    <t>ORD-10934</t>
  </si>
  <si>
    <t>03-Jul-2023</t>
  </si>
  <si>
    <t>09/07/2023 18:15</t>
  </si>
  <si>
    <t xml:space="preserve"> ORD-10935 </t>
  </si>
  <si>
    <t>10-03-2023 23:55</t>
  </si>
  <si>
    <t>10/10/2023 23:55</t>
  </si>
  <si>
    <t>ORD-10936</t>
  </si>
  <si>
    <t>14/08/2023</t>
  </si>
  <si>
    <t>08-18-2023</t>
  </si>
  <si>
    <t xml:space="preserve"> ORD-10937 </t>
  </si>
  <si>
    <t>01-07-2023</t>
  </si>
  <si>
    <t xml:space="preserve"> 2023-01-09 15:25</t>
  </si>
  <si>
    <t>ORD-10938</t>
  </si>
  <si>
    <t>27-Jan-2025</t>
  </si>
  <si>
    <t>31 January 2025 05:11</t>
  </si>
  <si>
    <t>ORD-10939</t>
  </si>
  <si>
    <t>02-01-2025 15:36</t>
  </si>
  <si>
    <t>02 February 2025 15:36</t>
  </si>
  <si>
    <t>ORD-10940</t>
  </si>
  <si>
    <t>27-Jul-2023 14:45</t>
  </si>
  <si>
    <t xml:space="preserve"> 05/08/2023 </t>
  </si>
  <si>
    <t>ORD-10941</t>
  </si>
  <si>
    <t>16 January 2024 20:04</t>
  </si>
  <si>
    <t>24/01/2024</t>
  </si>
  <si>
    <t>ORD-10942</t>
  </si>
  <si>
    <t>2023-05-17 13:28</t>
  </si>
  <si>
    <t>ORD-10943</t>
  </si>
  <si>
    <t>2024-02-11</t>
  </si>
  <si>
    <t>ORD-10944</t>
  </si>
  <si>
    <t>11 June 2023</t>
  </si>
  <si>
    <t>ORD-10945</t>
  </si>
  <si>
    <t>20-Apr-2025</t>
  </si>
  <si>
    <t>2025-04-24</t>
  </si>
  <si>
    <t>ORD-10946</t>
  </si>
  <si>
    <t>24-Jun-2024 01:39</t>
  </si>
  <si>
    <t>01/07/2024</t>
  </si>
  <si>
    <t xml:space="preserve"> ORD-10947 </t>
  </si>
  <si>
    <t>2025-05-07</t>
  </si>
  <si>
    <t xml:space="preserve"> ORD-10948 </t>
  </si>
  <si>
    <t>2023-08-17</t>
  </si>
  <si>
    <t>08-18-2023 18:57</t>
  </si>
  <si>
    <t xml:space="preserve"> ORD-10949 </t>
  </si>
  <si>
    <t>16-Oct-2023 12:20</t>
  </si>
  <si>
    <t>ORD-10950</t>
  </si>
  <si>
    <t>05-03-2024 15:50</t>
  </si>
  <si>
    <t>05-07-2024</t>
  </si>
  <si>
    <t xml:space="preserve"> ORD-10951 </t>
  </si>
  <si>
    <t>17-Mar-2023 09:37</t>
  </si>
  <si>
    <t xml:space="preserve"> 25-Mar-2023</t>
  </si>
  <si>
    <t>ORD-10952</t>
  </si>
  <si>
    <t xml:space="preserve"> 25 April 2024 </t>
  </si>
  <si>
    <t>ORD-10953</t>
  </si>
  <si>
    <t>2024-01-19</t>
  </si>
  <si>
    <t>21 January 2024</t>
  </si>
  <si>
    <t>ORD-10954</t>
  </si>
  <si>
    <t>2024-08-18</t>
  </si>
  <si>
    <t>24 August 2024</t>
  </si>
  <si>
    <t>ORD-10955</t>
  </si>
  <si>
    <t>22 July 2023</t>
  </si>
  <si>
    <t>28/07/2023</t>
  </si>
  <si>
    <t>ORD-10956</t>
  </si>
  <si>
    <t>29/09/2024</t>
  </si>
  <si>
    <t>03/10/2024</t>
  </si>
  <si>
    <t xml:space="preserve"> ORD-10957 </t>
  </si>
  <si>
    <t>03-10-2025</t>
  </si>
  <si>
    <t>19/03/2025</t>
  </si>
  <si>
    <t>ORD-10958</t>
  </si>
  <si>
    <t xml:space="preserve">31-Jul-2024 14:34 </t>
  </si>
  <si>
    <t>ORD-10959</t>
  </si>
  <si>
    <t>06-Nov-2024</t>
  </si>
  <si>
    <t>16-Nov-2024</t>
  </si>
  <si>
    <t>ORD-10960</t>
  </si>
  <si>
    <t xml:space="preserve">05-24-2023 </t>
  </si>
  <si>
    <t>2023-05-29</t>
  </si>
  <si>
    <t xml:space="preserve"> ORD-10961 </t>
  </si>
  <si>
    <t>13 April 2023</t>
  </si>
  <si>
    <t>04-18-2023 20:32</t>
  </si>
  <si>
    <t xml:space="preserve"> ORD-10962 </t>
  </si>
  <si>
    <t>2024-10-16</t>
  </si>
  <si>
    <t>17 October 2024</t>
  </si>
  <si>
    <t>ORD-10963</t>
  </si>
  <si>
    <t>02-04-2023</t>
  </si>
  <si>
    <t xml:space="preserve"> 07-Feb-2023</t>
  </si>
  <si>
    <t>ORD-10964</t>
  </si>
  <si>
    <t>2024-07-29</t>
  </si>
  <si>
    <t>08-04-2024 16:35</t>
  </si>
  <si>
    <t>ORD-10965</t>
  </si>
  <si>
    <t>ORD-10966</t>
  </si>
  <si>
    <t>01 January 2024</t>
  </si>
  <si>
    <t>2024-01-10 17:12</t>
  </si>
  <si>
    <t>ORD-10967</t>
  </si>
  <si>
    <t>19/01/2024</t>
  </si>
  <si>
    <t xml:space="preserve"> ORD-10968 </t>
  </si>
  <si>
    <t>17/10/2023</t>
  </si>
  <si>
    <t>20/10/2023 12:29</t>
  </si>
  <si>
    <t>ORD-10969</t>
  </si>
  <si>
    <t>02-Oct-2023</t>
  </si>
  <si>
    <t>ORD-10970</t>
  </si>
  <si>
    <t>30 July 2024</t>
  </si>
  <si>
    <t xml:space="preserve"> 09-Aug-2024</t>
  </si>
  <si>
    <t>ORD-10971</t>
  </si>
  <si>
    <t>06/11/2023</t>
  </si>
  <si>
    <t>15-Nov-2023</t>
  </si>
  <si>
    <t>ORD-10972</t>
  </si>
  <si>
    <t>ORD-10973</t>
  </si>
  <si>
    <t xml:space="preserve"> 09-Jun-2023</t>
  </si>
  <si>
    <t xml:space="preserve"> ORD-10974 </t>
  </si>
  <si>
    <t>13 August 2023</t>
  </si>
  <si>
    <t xml:space="preserve">17/08/2023 17:48 </t>
  </si>
  <si>
    <t>ORD-10975</t>
  </si>
  <si>
    <t xml:space="preserve">2024-09-30 </t>
  </si>
  <si>
    <t xml:space="preserve">03 October 2024 </t>
  </si>
  <si>
    <t xml:space="preserve"> ORD-10976 </t>
  </si>
  <si>
    <t>28/07/2023 16:03</t>
  </si>
  <si>
    <t>ORD-10977</t>
  </si>
  <si>
    <t>11 April 2025</t>
  </si>
  <si>
    <t xml:space="preserve"> 2025-04-15</t>
  </si>
  <si>
    <t>ORD-10978</t>
  </si>
  <si>
    <t>16-Jan-2024 05:14</t>
  </si>
  <si>
    <t>01-18-2024</t>
  </si>
  <si>
    <t>ORD-10979</t>
  </si>
  <si>
    <t xml:space="preserve"> 05-16-2023 </t>
  </si>
  <si>
    <t xml:space="preserve"> 2023-05-20 22:56</t>
  </si>
  <si>
    <t xml:space="preserve"> ORD-10980 </t>
  </si>
  <si>
    <t>14/04/2025</t>
  </si>
  <si>
    <t xml:space="preserve"> 23 April 2025</t>
  </si>
  <si>
    <t>ORD-10981</t>
  </si>
  <si>
    <t>02-13-2023 22:48</t>
  </si>
  <si>
    <t xml:space="preserve"> 02-15-2023</t>
  </si>
  <si>
    <t>ORD-10982</t>
  </si>
  <si>
    <t>2024-11-14</t>
  </si>
  <si>
    <t>2024-11-24 05:12</t>
  </si>
  <si>
    <t>ORD-10983</t>
  </si>
  <si>
    <t>03-09-2024 23:16</t>
  </si>
  <si>
    <t>2024-03-16</t>
  </si>
  <si>
    <t>ORD-10984</t>
  </si>
  <si>
    <t>10-29-2023 18:35</t>
  </si>
  <si>
    <t>2023-11-01 18:35</t>
  </si>
  <si>
    <t>ORD-10985</t>
  </si>
  <si>
    <t>10-11-2024</t>
  </si>
  <si>
    <t>14/10/2024 15:19</t>
  </si>
  <si>
    <t>ORD-10986</t>
  </si>
  <si>
    <t>09/09/2023 02:31</t>
  </si>
  <si>
    <t>2023-09-10</t>
  </si>
  <si>
    <t xml:space="preserve"> ORD-10987 </t>
  </si>
  <si>
    <t xml:space="preserve"> 27/12/2024</t>
  </si>
  <si>
    <t>2024-12-28</t>
  </si>
  <si>
    <t xml:space="preserve"> ORD-10988 </t>
  </si>
  <si>
    <t>2024-10-30 23:43</t>
  </si>
  <si>
    <t>07-Nov-2024</t>
  </si>
  <si>
    <t xml:space="preserve"> ORD-10989 </t>
  </si>
  <si>
    <t>24/04/2025 16:47</t>
  </si>
  <si>
    <t>2025-04-28</t>
  </si>
  <si>
    <t xml:space="preserve"> ORD-10990 </t>
  </si>
  <si>
    <t>27/06/2024 14:56</t>
  </si>
  <si>
    <t xml:space="preserve">03/07/2024 </t>
  </si>
  <si>
    <t>ORD-10991</t>
  </si>
  <si>
    <t xml:space="preserve">29-Apr-2024 </t>
  </si>
  <si>
    <t>30-Apr-2024 16:12</t>
  </si>
  <si>
    <t xml:space="preserve"> ORD-10992 </t>
  </si>
  <si>
    <t xml:space="preserve">10 January 2024 </t>
  </si>
  <si>
    <t>14-Jan-2024</t>
  </si>
  <si>
    <t>ORD-10993</t>
  </si>
  <si>
    <t xml:space="preserve"> 29 April 2023</t>
  </si>
  <si>
    <t>05-01-2023 10:28</t>
  </si>
  <si>
    <t>ORD-10994</t>
  </si>
  <si>
    <t>2023-08-07</t>
  </si>
  <si>
    <t>10 August 2023</t>
  </si>
  <si>
    <t>ORD-10995</t>
  </si>
  <si>
    <t>11/05/2024</t>
  </si>
  <si>
    <t>17 May 2024</t>
  </si>
  <si>
    <t>ORD-10996</t>
  </si>
  <si>
    <t>15-Oct-2023</t>
  </si>
  <si>
    <t xml:space="preserve"> 10-24-2023 05:15</t>
  </si>
  <si>
    <t xml:space="preserve"> ORD-10997 </t>
  </si>
  <si>
    <t xml:space="preserve">2023-11-05 </t>
  </si>
  <si>
    <t>13-Nov-2023</t>
  </si>
  <si>
    <t xml:space="preserve"> ORD-10998 </t>
  </si>
  <si>
    <t xml:space="preserve"> 06 July 2024</t>
  </si>
  <si>
    <t>07-11-2024 07:40</t>
  </si>
  <si>
    <t>ORD-10999</t>
  </si>
  <si>
    <t>2023-10-10</t>
  </si>
  <si>
    <t>17-Oct-2023 21:19</t>
  </si>
  <si>
    <t>Current date</t>
  </si>
  <si>
    <t>Current time</t>
  </si>
  <si>
    <t>Date</t>
  </si>
  <si>
    <t>Day</t>
  </si>
  <si>
    <t>Month</t>
  </si>
  <si>
    <t>Year</t>
  </si>
  <si>
    <t>Hour</t>
  </si>
  <si>
    <t>Minute</t>
  </si>
  <si>
    <t>second</t>
  </si>
  <si>
    <t>Time</t>
  </si>
  <si>
    <t xml:space="preserve"> </t>
  </si>
  <si>
    <t>NetworkDays</t>
  </si>
  <si>
    <t xml:space="preserve">start date </t>
  </si>
  <si>
    <t xml:space="preserve">end date </t>
  </si>
  <si>
    <t xml:space="preserve">working days </t>
  </si>
  <si>
    <t>leaving date</t>
  </si>
  <si>
    <t>hiring dates</t>
  </si>
  <si>
    <t>Holidays</t>
  </si>
  <si>
    <t>Days</t>
  </si>
  <si>
    <t>Days360</t>
  </si>
  <si>
    <t>Network Days</t>
  </si>
  <si>
    <t>Network Days .intl</t>
  </si>
  <si>
    <t>Network Days .intl ( with holidays)</t>
  </si>
  <si>
    <t>Start date</t>
  </si>
  <si>
    <t>Working Days</t>
  </si>
  <si>
    <t>WorkDay</t>
  </si>
  <si>
    <t>Workday.intl</t>
  </si>
  <si>
    <t>WorkDays .intl ( with holidays)</t>
  </si>
  <si>
    <t>Purchase date</t>
  </si>
  <si>
    <t>Months</t>
  </si>
  <si>
    <t>Payement Date (EDATE)</t>
  </si>
  <si>
    <t>Emonth</t>
  </si>
  <si>
    <t>order date</t>
  </si>
  <si>
    <t>DatedIF</t>
  </si>
  <si>
    <t>YearFrac</t>
  </si>
  <si>
    <t>date of birth</t>
  </si>
  <si>
    <t>Current Date</t>
  </si>
  <si>
    <t>Today()+</t>
  </si>
  <si>
    <t>Now()+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</si>
</sst>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1" fontId="0" fillId="0" borderId="0" xfId="0" applyNumberFormat="1"/>
    <xf numFmtId="14" fontId="0" fillId="0" borderId="0" xfId="0" applyNumberForma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 applyAlignment="1"/>
    <xf numFmtId="0" fontId="0" fillId="0" borderId="1" xfId="0" applyBorder="1" applyAlignmen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18" fontId="0" fillId="0" borderId="1" xfId="0" applyNumberFormat="1" applyBorder="1"/>
    <xf numFmtId="14" fontId="0" fillId="0" borderId="0" xfId="0" applyNumberFormat="1" applyAlignment="1">
      <alignment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tabSelected="1" topLeftCell="L1" zoomScale="76" zoomScaleNormal="117" workbookViewId="0">
      <selection activeCell="S14" sqref="S14"/>
    </sheetView>
  </sheetViews>
  <sheetFormatPr defaultRowHeight="14.5" x14ac:dyDescent="0.35"/>
  <cols>
    <col min="1" max="1" width="11.08984375" bestFit="1" customWidth="1"/>
    <col min="2" max="2" width="22.54296875" bestFit="1" customWidth="1"/>
    <col min="3" max="3" width="22.54296875" customWidth="1"/>
    <col min="4" max="4" width="22.1796875" bestFit="1" customWidth="1"/>
    <col min="5" max="5" width="15.7265625" bestFit="1" customWidth="1"/>
    <col min="6" max="6" width="9.6328125" bestFit="1" customWidth="1"/>
    <col min="7" max="7" width="7.08984375" bestFit="1" customWidth="1"/>
    <col min="8" max="8" width="13.1796875" bestFit="1" customWidth="1"/>
    <col min="9" max="9" width="8.453125" customWidth="1"/>
    <col min="10" max="10" width="8.81640625" style="3" customWidth="1"/>
    <col min="12" max="12" width="12.36328125" bestFit="1" customWidth="1"/>
    <col min="13" max="13" width="13.26953125" bestFit="1" customWidth="1"/>
    <col min="14" max="14" width="13.6328125" bestFit="1" customWidth="1"/>
    <col min="15" max="15" width="13.54296875" bestFit="1" customWidth="1"/>
    <col min="16" max="17" width="12.7265625" bestFit="1" customWidth="1"/>
    <col min="18" max="18" width="29" customWidth="1"/>
    <col min="19" max="19" width="17.81640625" bestFit="1" customWidth="1"/>
    <col min="20" max="20" width="33.54296875" bestFit="1" customWidth="1"/>
    <col min="21" max="21" width="16.1796875" bestFit="1" customWidth="1"/>
    <col min="22" max="22" width="29.90625" bestFit="1" customWidth="1"/>
    <col min="23" max="23" width="10.6328125" bestFit="1" customWidth="1"/>
    <col min="24" max="24" width="33.453125" bestFit="1" customWidth="1"/>
    <col min="25" max="25" width="10.6328125" bestFit="1" customWidth="1"/>
    <col min="26" max="26" width="13" bestFit="1" customWidth="1"/>
    <col min="27" max="27" width="29.54296875" bestFit="1" customWidth="1"/>
    <col min="28" max="28" width="29.81640625" bestFit="1" customWidth="1"/>
  </cols>
  <sheetData>
    <row r="1" spans="1:23" ht="15.5" x14ac:dyDescent="0.35">
      <c r="A1" s="1" t="s">
        <v>0</v>
      </c>
      <c r="B1" s="1" t="s">
        <v>1</v>
      </c>
      <c r="C1" s="1" t="s">
        <v>2839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M1" s="16" t="s">
        <v>2835</v>
      </c>
      <c r="N1" s="16" t="s">
        <v>2836</v>
      </c>
      <c r="O1" s="16" t="s">
        <v>2837</v>
      </c>
      <c r="P1" s="16" t="s">
        <v>2838</v>
      </c>
      <c r="R1" s="16" t="s">
        <v>2807</v>
      </c>
      <c r="S1" s="16" t="s">
        <v>2810</v>
      </c>
      <c r="T1" s="16" t="s">
        <v>2811</v>
      </c>
      <c r="U1" s="16" t="s">
        <v>2812</v>
      </c>
      <c r="V1" s="16" t="s">
        <v>2809</v>
      </c>
    </row>
    <row r="2" spans="1:23" x14ac:dyDescent="0.35">
      <c r="A2" t="s">
        <v>10</v>
      </c>
      <c r="B2" t="s">
        <v>11</v>
      </c>
      <c r="C2" t="str">
        <f>TEXT(B2,"dddd-mm-yyyy")</f>
        <v>Tuesday-02-2025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3">
        <v>4610</v>
      </c>
      <c r="J2" s="3">
        <v>92217.4</v>
      </c>
      <c r="K2" t="s">
        <v>17</v>
      </c>
      <c r="M2" s="15">
        <v>46238</v>
      </c>
      <c r="N2" s="14">
        <v>4</v>
      </c>
      <c r="O2" s="15">
        <f>EDATE(M2,N2)</f>
        <v>46360</v>
      </c>
      <c r="P2" s="15">
        <f>EOMONTH(M2,N2)</f>
        <v>46387</v>
      </c>
      <c r="R2" s="15">
        <f ca="1">TODAY()</f>
        <v>46236</v>
      </c>
      <c r="S2" s="14">
        <f ca="1">DAY(R2)</f>
        <v>2</v>
      </c>
      <c r="T2" s="14">
        <f ca="1">MONTH(R2)</f>
        <v>8</v>
      </c>
      <c r="U2" s="14">
        <f ca="1">YEAR(R2)</f>
        <v>2026</v>
      </c>
      <c r="V2" s="15">
        <f ca="1">DATE(U2,T2,S2)</f>
        <v>46236</v>
      </c>
    </row>
    <row r="3" spans="1:23" x14ac:dyDescent="0.35">
      <c r="A3" t="s">
        <v>18</v>
      </c>
      <c r="B3" t="s">
        <v>19</v>
      </c>
      <c r="C3" t="str">
        <f t="shared" ref="C3:C66" si="0">TEXT(B3,"dddd-mm-yyyy")</f>
        <v>Wednesday-08-2024</v>
      </c>
      <c r="D3" t="s">
        <v>20</v>
      </c>
      <c r="E3" t="s">
        <v>21</v>
      </c>
      <c r="F3" t="s">
        <v>22</v>
      </c>
      <c r="G3" t="s">
        <v>23</v>
      </c>
      <c r="H3" t="s">
        <v>16</v>
      </c>
      <c r="I3" s="3">
        <v>2850</v>
      </c>
      <c r="J3" s="3">
        <v>142.511</v>
      </c>
      <c r="K3" t="s">
        <v>24</v>
      </c>
      <c r="M3" s="15">
        <v>46239</v>
      </c>
      <c r="N3" s="14">
        <v>5</v>
      </c>
      <c r="O3" s="15">
        <f t="shared" ref="O3:O10" si="1">EDATE(M3,N3)</f>
        <v>46392</v>
      </c>
      <c r="P3" s="15">
        <f t="shared" ref="P3:P10" si="2">EOMONTH(M3,N3)</f>
        <v>46418</v>
      </c>
    </row>
    <row r="4" spans="1:23" ht="15.5" x14ac:dyDescent="0.35">
      <c r="A4" t="s">
        <v>25</v>
      </c>
      <c r="B4" t="s">
        <v>26</v>
      </c>
      <c r="C4" t="str">
        <f t="shared" si="0"/>
        <v>Thursday-08-2023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s="3">
        <v>682</v>
      </c>
      <c r="J4" s="3">
        <v>0</v>
      </c>
      <c r="K4" t="s">
        <v>17</v>
      </c>
      <c r="M4" s="15">
        <v>46240</v>
      </c>
      <c r="N4" s="14">
        <v>3</v>
      </c>
      <c r="O4" s="15">
        <f t="shared" si="1"/>
        <v>46332</v>
      </c>
      <c r="P4" s="15">
        <f t="shared" si="2"/>
        <v>46356</v>
      </c>
      <c r="R4" s="16" t="s">
        <v>2808</v>
      </c>
      <c r="S4" s="16" t="s">
        <v>2813</v>
      </c>
      <c r="T4" s="16" t="s">
        <v>2814</v>
      </c>
      <c r="U4" s="16" t="s">
        <v>2815</v>
      </c>
      <c r="V4" s="16" t="s">
        <v>2816</v>
      </c>
    </row>
    <row r="5" spans="1:23" x14ac:dyDescent="0.35">
      <c r="A5" t="s">
        <v>32</v>
      </c>
      <c r="B5" t="s">
        <v>33</v>
      </c>
      <c r="C5" t="str">
        <f t="shared" si="0"/>
        <v xml:space="preserve"> 15/08/2024</v>
      </c>
      <c r="D5" t="s">
        <v>34</v>
      </c>
      <c r="E5" t="s">
        <v>35</v>
      </c>
      <c r="F5" t="s">
        <v>36</v>
      </c>
      <c r="G5" t="s">
        <v>23</v>
      </c>
      <c r="H5" t="s">
        <v>16</v>
      </c>
      <c r="I5" s="3">
        <v>4949</v>
      </c>
      <c r="J5" s="3">
        <v>494.90100000000001</v>
      </c>
      <c r="K5" t="s">
        <v>37</v>
      </c>
      <c r="M5" s="15">
        <v>46241</v>
      </c>
      <c r="N5" s="14">
        <v>4</v>
      </c>
      <c r="O5" s="15">
        <f t="shared" si="1"/>
        <v>46363</v>
      </c>
      <c r="P5" s="15">
        <f t="shared" si="2"/>
        <v>46387</v>
      </c>
      <c r="R5" s="17">
        <f ca="1">NOW()</f>
        <v>46236.759375694448</v>
      </c>
      <c r="S5" s="14">
        <f ca="1">HOUR(R5)</f>
        <v>18</v>
      </c>
      <c r="T5" s="14">
        <f ca="1">MINUTE(R5)</f>
        <v>13</v>
      </c>
      <c r="U5" s="14">
        <f ca="1">SECOND(R5)</f>
        <v>30</v>
      </c>
      <c r="V5" s="18">
        <f ca="1">TIME(S5,T5,U5)</f>
        <v>0.75937500000000002</v>
      </c>
    </row>
    <row r="6" spans="1:23" x14ac:dyDescent="0.35">
      <c r="A6" t="s">
        <v>38</v>
      </c>
      <c r="B6" t="s">
        <v>39</v>
      </c>
      <c r="C6" t="str">
        <f t="shared" si="0"/>
        <v>Thursday-04-2024</v>
      </c>
      <c r="D6" t="s">
        <v>40</v>
      </c>
      <c r="E6" t="s">
        <v>28</v>
      </c>
      <c r="F6" t="s">
        <v>29</v>
      </c>
      <c r="G6" t="s">
        <v>23</v>
      </c>
      <c r="H6" t="s">
        <v>41</v>
      </c>
      <c r="I6" s="3">
        <v>2887</v>
      </c>
      <c r="J6" s="3">
        <v>577.54200000000003</v>
      </c>
      <c r="K6" t="s">
        <v>17</v>
      </c>
      <c r="M6" s="15">
        <v>46242</v>
      </c>
      <c r="N6" s="14">
        <v>2</v>
      </c>
      <c r="O6" s="15">
        <f t="shared" si="1"/>
        <v>46303</v>
      </c>
      <c r="P6" s="15">
        <f t="shared" si="2"/>
        <v>46326</v>
      </c>
    </row>
    <row r="7" spans="1:23" ht="15.5" x14ac:dyDescent="0.35">
      <c r="A7" t="s">
        <v>42</v>
      </c>
      <c r="B7" t="s">
        <v>43</v>
      </c>
      <c r="C7" t="str">
        <f t="shared" si="0"/>
        <v>Sunday-03-2025</v>
      </c>
      <c r="D7" t="s">
        <v>44</v>
      </c>
      <c r="E7" t="s">
        <v>45</v>
      </c>
      <c r="F7" t="s">
        <v>22</v>
      </c>
      <c r="G7" t="s">
        <v>23</v>
      </c>
      <c r="H7" t="s">
        <v>16</v>
      </c>
      <c r="I7" s="3">
        <v>4750</v>
      </c>
      <c r="J7" s="3">
        <v>475.03500000000003</v>
      </c>
      <c r="K7" t="s">
        <v>37</v>
      </c>
      <c r="M7" s="15">
        <v>46243</v>
      </c>
      <c r="N7" s="14">
        <v>6</v>
      </c>
      <c r="O7" s="15">
        <f t="shared" si="1"/>
        <v>46427</v>
      </c>
      <c r="P7" s="15">
        <f t="shared" si="2"/>
        <v>46446</v>
      </c>
      <c r="R7" s="11" t="s">
        <v>2818</v>
      </c>
      <c r="S7" s="12"/>
      <c r="T7" s="16" t="s">
        <v>2842</v>
      </c>
      <c r="U7" s="16" t="s">
        <v>2843</v>
      </c>
      <c r="V7" s="16" t="s">
        <v>2840</v>
      </c>
      <c r="W7" s="16" t="s">
        <v>2841</v>
      </c>
    </row>
    <row r="8" spans="1:23" x14ac:dyDescent="0.35">
      <c r="A8" t="s">
        <v>46</v>
      </c>
      <c r="B8" t="s">
        <v>47</v>
      </c>
      <c r="C8" t="str">
        <f t="shared" si="0"/>
        <v>Wednesday-12-2023</v>
      </c>
      <c r="D8" t="s">
        <v>48</v>
      </c>
      <c r="E8" t="s">
        <v>49</v>
      </c>
      <c r="F8" t="s">
        <v>36</v>
      </c>
      <c r="G8" t="s">
        <v>30</v>
      </c>
      <c r="H8" t="s">
        <v>41</v>
      </c>
      <c r="I8" s="3">
        <v>1606</v>
      </c>
      <c r="J8" s="3">
        <v>107.09266666666667</v>
      </c>
      <c r="K8" t="s">
        <v>17</v>
      </c>
      <c r="M8" s="15">
        <v>46244</v>
      </c>
      <c r="N8" s="14">
        <v>7</v>
      </c>
      <c r="O8" s="15">
        <f t="shared" si="1"/>
        <v>46456</v>
      </c>
      <c r="P8" s="15">
        <f t="shared" si="2"/>
        <v>46477</v>
      </c>
      <c r="R8" s="5" t="s">
        <v>2819</v>
      </c>
      <c r="S8" s="5" t="s">
        <v>2820</v>
      </c>
      <c r="T8" s="19">
        <v>38278</v>
      </c>
      <c r="U8" s="4">
        <f ca="1">TODAY()</f>
        <v>46236</v>
      </c>
      <c r="V8">
        <f ca="1">DATEDIF(T8,U8,"Y")</f>
        <v>21</v>
      </c>
      <c r="W8">
        <f ca="1">YEARFRAC(T8,U8)</f>
        <v>21.788888888888888</v>
      </c>
    </row>
    <row r="9" spans="1:23" x14ac:dyDescent="0.35">
      <c r="A9" t="s">
        <v>50</v>
      </c>
      <c r="B9" t="s">
        <v>51</v>
      </c>
      <c r="C9" t="str">
        <f t="shared" si="0"/>
        <v>Saturday-09-2023</v>
      </c>
      <c r="D9" t="s">
        <v>52</v>
      </c>
      <c r="E9" t="s">
        <v>53</v>
      </c>
      <c r="F9" t="s">
        <v>36</v>
      </c>
      <c r="G9" t="s">
        <v>23</v>
      </c>
      <c r="H9" t="s">
        <v>31</v>
      </c>
      <c r="I9" s="3">
        <v>738</v>
      </c>
      <c r="J9" s="3">
        <v>0</v>
      </c>
      <c r="K9" t="s">
        <v>17</v>
      </c>
      <c r="M9" s="15">
        <v>46245</v>
      </c>
      <c r="N9" s="14">
        <v>4</v>
      </c>
      <c r="O9" s="15">
        <f t="shared" si="1"/>
        <v>46367</v>
      </c>
      <c r="P9" s="15">
        <f t="shared" si="2"/>
        <v>46387</v>
      </c>
      <c r="R9" s="7">
        <f ca="1">TODAY()</f>
        <v>46236</v>
      </c>
      <c r="S9" s="7">
        <v>46264</v>
      </c>
      <c r="T9" s="4">
        <v>37478</v>
      </c>
      <c r="U9" s="4">
        <f ca="1">TODAY()</f>
        <v>46236</v>
      </c>
      <c r="V9">
        <f ca="1">DATEDIF(T9,U9,"Y")</f>
        <v>23</v>
      </c>
      <c r="W9">
        <f t="shared" ref="W9:W10" ca="1" si="3">YEARFRAC(T9,U9)</f>
        <v>23.977777777777778</v>
      </c>
    </row>
    <row r="10" spans="1:23" x14ac:dyDescent="0.35">
      <c r="A10" t="s">
        <v>54</v>
      </c>
      <c r="B10" t="s">
        <v>55</v>
      </c>
      <c r="C10" t="str">
        <f t="shared" si="0"/>
        <v xml:space="preserve"> 03 January 2024</v>
      </c>
      <c r="D10" t="s">
        <v>56</v>
      </c>
      <c r="E10" t="s">
        <v>49</v>
      </c>
      <c r="F10" t="s">
        <v>57</v>
      </c>
      <c r="G10" t="s">
        <v>30</v>
      </c>
      <c r="H10" t="s">
        <v>16</v>
      </c>
      <c r="I10" s="3">
        <v>2283</v>
      </c>
      <c r="J10" s="3">
        <v>228.39299999999997</v>
      </c>
      <c r="K10" t="s">
        <v>37</v>
      </c>
      <c r="M10" s="15">
        <v>46246</v>
      </c>
      <c r="N10" s="14">
        <v>2</v>
      </c>
      <c r="O10" s="15">
        <f t="shared" si="1"/>
        <v>46307</v>
      </c>
      <c r="P10" s="15">
        <f t="shared" si="2"/>
        <v>46326</v>
      </c>
      <c r="R10" s="6" t="s">
        <v>2821</v>
      </c>
      <c r="S10" s="6">
        <f ca="1">NETWORKDAYS(R9,S9,2)</f>
        <v>20</v>
      </c>
    </row>
    <row r="11" spans="1:23" x14ac:dyDescent="0.35">
      <c r="A11" t="s">
        <v>58</v>
      </c>
      <c r="B11" t="s">
        <v>59</v>
      </c>
      <c r="C11" t="str">
        <f>TEXT(B11,"dddd-mm-yyyy")</f>
        <v xml:space="preserve"> 2024-10-22</v>
      </c>
      <c r="D11" t="s">
        <v>60</v>
      </c>
      <c r="E11" t="s">
        <v>61</v>
      </c>
      <c r="F11" t="s">
        <v>62</v>
      </c>
      <c r="G11" t="s">
        <v>15</v>
      </c>
      <c r="H11" t="s">
        <v>16</v>
      </c>
      <c r="I11" s="3">
        <v>1428</v>
      </c>
      <c r="J11" s="3">
        <v>285.69400000000002</v>
      </c>
      <c r="K11" t="s">
        <v>24</v>
      </c>
      <c r="T11" s="4" t="s">
        <v>2817</v>
      </c>
      <c r="V11" s="4" t="s">
        <v>2817</v>
      </c>
    </row>
    <row r="12" spans="1:23" ht="15.5" x14ac:dyDescent="0.35">
      <c r="A12" t="s">
        <v>63</v>
      </c>
      <c r="B12" t="s">
        <v>64</v>
      </c>
      <c r="C12" t="str">
        <f t="shared" si="0"/>
        <v>Sunday-04-2023</v>
      </c>
      <c r="D12" t="s">
        <v>65</v>
      </c>
      <c r="E12" t="s">
        <v>35</v>
      </c>
      <c r="F12" t="s">
        <v>66</v>
      </c>
      <c r="G12" t="s">
        <v>23</v>
      </c>
      <c r="H12" t="s">
        <v>41</v>
      </c>
      <c r="I12" s="3">
        <v>2574</v>
      </c>
      <c r="J12" s="3">
        <v>257.46600000000001</v>
      </c>
      <c r="K12" t="s">
        <v>24</v>
      </c>
      <c r="M12" s="8" t="s">
        <v>2830</v>
      </c>
      <c r="N12" s="8" t="s">
        <v>2824</v>
      </c>
      <c r="O12" s="8" t="s">
        <v>2831</v>
      </c>
      <c r="P12" s="8" t="s">
        <v>2832</v>
      </c>
      <c r="Q12" s="8" t="s">
        <v>2833</v>
      </c>
      <c r="R12" s="8" t="s">
        <v>2834</v>
      </c>
      <c r="T12" s="16" t="s">
        <v>2844</v>
      </c>
      <c r="U12" s="16" t="s">
        <v>2845</v>
      </c>
    </row>
    <row r="13" spans="1:23" x14ac:dyDescent="0.35">
      <c r="A13" t="s">
        <v>67</v>
      </c>
      <c r="B13" t="s">
        <v>68</v>
      </c>
      <c r="C13" t="str">
        <f t="shared" si="0"/>
        <v xml:space="preserve"> 10-Apr-2025 17:40</v>
      </c>
      <c r="D13" t="s">
        <v>69</v>
      </c>
      <c r="E13" t="s">
        <v>49</v>
      </c>
      <c r="F13" t="s">
        <v>29</v>
      </c>
      <c r="G13" t="s">
        <v>23</v>
      </c>
      <c r="H13" t="s">
        <v>16</v>
      </c>
      <c r="I13" s="3">
        <v>818</v>
      </c>
      <c r="J13" s="3">
        <v>81.852999999999994</v>
      </c>
      <c r="K13" t="s">
        <v>17</v>
      </c>
      <c r="M13" s="9">
        <v>46026</v>
      </c>
      <c r="N13" s="9">
        <v>46041</v>
      </c>
      <c r="O13" s="13">
        <v>23</v>
      </c>
      <c r="P13" s="15">
        <f>WORKDAY(M13,O13)</f>
        <v>46057</v>
      </c>
      <c r="Q13" s="15">
        <f>WORKDAY.INTL(M13,O13,17)</f>
        <v>46052</v>
      </c>
      <c r="R13" s="15">
        <f>WORKDAY.INTL(M13,O13,17,N13)</f>
        <v>46054</v>
      </c>
      <c r="T13" s="4">
        <f ca="1">TODAY()+7</f>
        <v>46243</v>
      </c>
      <c r="U13" s="20">
        <f ca="1">NOW()+20</f>
        <v>46256.759375694448</v>
      </c>
      <c r="V13" s="4"/>
    </row>
    <row r="14" spans="1:23" x14ac:dyDescent="0.35">
      <c r="A14" t="s">
        <v>70</v>
      </c>
      <c r="B14" t="s">
        <v>71</v>
      </c>
      <c r="C14" t="str">
        <f t="shared" si="0"/>
        <v>Tuesday-01-2023</v>
      </c>
      <c r="D14" t="s">
        <v>72</v>
      </c>
      <c r="E14" t="s">
        <v>13</v>
      </c>
      <c r="F14" t="s">
        <v>29</v>
      </c>
      <c r="G14" t="s">
        <v>15</v>
      </c>
      <c r="H14" t="s">
        <v>31</v>
      </c>
      <c r="I14" s="3">
        <v>3408</v>
      </c>
      <c r="J14" s="3">
        <v>227.26599999999999</v>
      </c>
      <c r="K14" t="s">
        <v>37</v>
      </c>
      <c r="M14" s="9">
        <v>46028</v>
      </c>
      <c r="N14" s="9">
        <v>46042</v>
      </c>
      <c r="O14" s="13">
        <v>43</v>
      </c>
      <c r="P14" s="15">
        <f>WORKDAY(M14,O14)</f>
        <v>46087</v>
      </c>
      <c r="Q14" s="15">
        <f t="shared" ref="Q14:Q21" si="4">WORKDAY.INTL(M14,O14,17)</f>
        <v>46078</v>
      </c>
      <c r="R14" s="15">
        <f t="shared" ref="R14:R21" si="5">WORKDAY.INTL(M14,O14,17,N14)</f>
        <v>46079</v>
      </c>
    </row>
    <row r="15" spans="1:23" x14ac:dyDescent="0.35">
      <c r="A15" t="s">
        <v>73</v>
      </c>
      <c r="B15" t="s">
        <v>74</v>
      </c>
      <c r="C15" t="str">
        <f t="shared" si="0"/>
        <v xml:space="preserve"> 27/03/2023 </v>
      </c>
      <c r="D15" t="s">
        <v>75</v>
      </c>
      <c r="E15" t="s">
        <v>35</v>
      </c>
      <c r="F15" t="s">
        <v>62</v>
      </c>
      <c r="G15" t="s">
        <v>30</v>
      </c>
      <c r="H15" t="s">
        <v>41</v>
      </c>
      <c r="I15" s="3">
        <v>975</v>
      </c>
      <c r="J15" s="3">
        <v>65.044666666666657</v>
      </c>
      <c r="K15" t="s">
        <v>17</v>
      </c>
      <c r="M15" s="9">
        <v>46030</v>
      </c>
      <c r="N15" s="9">
        <v>46043</v>
      </c>
      <c r="O15" s="13">
        <v>56</v>
      </c>
      <c r="P15" s="15">
        <f>WORKDAY(M15,O15)</f>
        <v>46108</v>
      </c>
      <c r="Q15" s="15">
        <f t="shared" si="4"/>
        <v>46096</v>
      </c>
      <c r="R15" s="15">
        <f t="shared" si="5"/>
        <v>46097</v>
      </c>
    </row>
    <row r="16" spans="1:23" x14ac:dyDescent="0.35">
      <c r="A16" t="s">
        <v>76</v>
      </c>
      <c r="B16" t="s">
        <v>77</v>
      </c>
      <c r="C16" t="str">
        <f t="shared" si="0"/>
        <v>Saturday-01-2025</v>
      </c>
      <c r="D16" t="s">
        <v>78</v>
      </c>
      <c r="E16" t="s">
        <v>79</v>
      </c>
      <c r="F16" t="s">
        <v>14</v>
      </c>
      <c r="G16" t="s">
        <v>23</v>
      </c>
      <c r="H16" t="s">
        <v>41</v>
      </c>
      <c r="I16" s="3">
        <v>1690</v>
      </c>
      <c r="J16" s="3">
        <v>169.005</v>
      </c>
      <c r="K16" t="s">
        <v>37</v>
      </c>
      <c r="M16" s="9">
        <v>46032</v>
      </c>
      <c r="N16" s="9">
        <v>46044</v>
      </c>
      <c r="O16" s="13">
        <v>65</v>
      </c>
      <c r="P16" s="15">
        <f>WORKDAY(M16,O16)</f>
        <v>46122</v>
      </c>
      <c r="Q16" s="15">
        <f t="shared" si="4"/>
        <v>46107</v>
      </c>
      <c r="R16" s="15">
        <f t="shared" si="5"/>
        <v>46108</v>
      </c>
    </row>
    <row r="17" spans="1:20" x14ac:dyDescent="0.35">
      <c r="A17" t="s">
        <v>80</v>
      </c>
      <c r="B17" t="s">
        <v>81</v>
      </c>
      <c r="C17" t="str">
        <f t="shared" si="0"/>
        <v>03-25-2024 15:40</v>
      </c>
      <c r="D17" t="s">
        <v>82</v>
      </c>
      <c r="E17" t="s">
        <v>28</v>
      </c>
      <c r="F17" t="s">
        <v>36</v>
      </c>
      <c r="G17" t="s">
        <v>23</v>
      </c>
      <c r="H17" t="s">
        <v>41</v>
      </c>
      <c r="I17" s="3">
        <v>2097</v>
      </c>
      <c r="J17" s="3">
        <v>139.85666666666665</v>
      </c>
      <c r="K17" t="s">
        <v>37</v>
      </c>
      <c r="M17" s="9">
        <v>46034</v>
      </c>
      <c r="N17" s="9">
        <v>46045</v>
      </c>
      <c r="O17" s="13">
        <v>32</v>
      </c>
      <c r="P17" s="15">
        <f>WORKDAY(M17,O17)</f>
        <v>46078</v>
      </c>
      <c r="Q17" s="15">
        <f t="shared" si="4"/>
        <v>46071</v>
      </c>
      <c r="R17" s="15">
        <f t="shared" si="5"/>
        <v>46072</v>
      </c>
    </row>
    <row r="18" spans="1:20" x14ac:dyDescent="0.35">
      <c r="A18" t="s">
        <v>83</v>
      </c>
      <c r="B18" t="s">
        <v>84</v>
      </c>
      <c r="C18" t="str">
        <f t="shared" si="0"/>
        <v>Thursday-05-2024</v>
      </c>
      <c r="D18" t="s">
        <v>85</v>
      </c>
      <c r="E18" t="s">
        <v>13</v>
      </c>
      <c r="F18" t="s">
        <v>86</v>
      </c>
      <c r="G18" t="s">
        <v>23</v>
      </c>
      <c r="H18" t="s">
        <v>41</v>
      </c>
      <c r="I18" s="3">
        <v>3801</v>
      </c>
      <c r="J18" s="3">
        <v>0</v>
      </c>
      <c r="K18" t="s">
        <v>24</v>
      </c>
      <c r="M18" s="9">
        <v>46036</v>
      </c>
      <c r="N18" s="9">
        <v>46046</v>
      </c>
      <c r="O18" s="13">
        <v>23</v>
      </c>
      <c r="P18" s="15">
        <f>WORKDAY(M18,O18)</f>
        <v>46069</v>
      </c>
      <c r="Q18" s="15">
        <f t="shared" si="4"/>
        <v>46063</v>
      </c>
      <c r="R18" s="15">
        <f t="shared" si="5"/>
        <v>46063</v>
      </c>
    </row>
    <row r="19" spans="1:20" x14ac:dyDescent="0.35">
      <c r="A19" t="s">
        <v>87</v>
      </c>
      <c r="B19" t="s">
        <v>88</v>
      </c>
      <c r="C19" t="str">
        <f t="shared" si="0"/>
        <v>Wednesday-11-2023</v>
      </c>
      <c r="D19" t="s">
        <v>89</v>
      </c>
      <c r="E19" t="s">
        <v>28</v>
      </c>
      <c r="F19" t="s">
        <v>14</v>
      </c>
      <c r="G19" t="s">
        <v>30</v>
      </c>
      <c r="H19" t="s">
        <v>41</v>
      </c>
      <c r="I19" s="3">
        <v>1718</v>
      </c>
      <c r="J19" s="3">
        <v>171.84800000000001</v>
      </c>
      <c r="K19" t="s">
        <v>24</v>
      </c>
      <c r="M19" s="9">
        <v>46038</v>
      </c>
      <c r="N19" s="9">
        <v>46047</v>
      </c>
      <c r="O19" s="13">
        <v>54</v>
      </c>
      <c r="P19" s="15">
        <f>WORKDAY(M19,O19)</f>
        <v>46114</v>
      </c>
      <c r="Q19" s="15">
        <f t="shared" si="4"/>
        <v>46101</v>
      </c>
      <c r="R19" s="15">
        <f t="shared" si="5"/>
        <v>46103</v>
      </c>
    </row>
    <row r="20" spans="1:20" x14ac:dyDescent="0.35">
      <c r="A20" t="s">
        <v>90</v>
      </c>
      <c r="B20" t="s">
        <v>91</v>
      </c>
      <c r="C20" t="str">
        <f t="shared" si="0"/>
        <v xml:space="preserve"> 2025-02-26</v>
      </c>
      <c r="D20" t="s">
        <v>92</v>
      </c>
      <c r="E20" t="s">
        <v>13</v>
      </c>
      <c r="F20" t="s">
        <v>22</v>
      </c>
      <c r="G20" t="s">
        <v>15</v>
      </c>
      <c r="H20" t="s">
        <v>41</v>
      </c>
      <c r="I20" s="3">
        <v>1310</v>
      </c>
      <c r="J20" s="3">
        <v>0</v>
      </c>
      <c r="K20" t="s">
        <v>37</v>
      </c>
      <c r="M20" s="9">
        <v>46040</v>
      </c>
      <c r="N20" s="9">
        <v>46048</v>
      </c>
      <c r="O20" s="13">
        <v>65</v>
      </c>
      <c r="P20" s="15">
        <f>WORKDAY(M20,O20)</f>
        <v>46129</v>
      </c>
      <c r="Q20" s="15">
        <f t="shared" si="4"/>
        <v>46115</v>
      </c>
      <c r="R20" s="15">
        <f t="shared" si="5"/>
        <v>46117</v>
      </c>
    </row>
    <row r="21" spans="1:20" x14ac:dyDescent="0.35">
      <c r="A21" t="s">
        <v>93</v>
      </c>
      <c r="B21" t="s">
        <v>94</v>
      </c>
      <c r="C21" t="str">
        <f t="shared" si="0"/>
        <v>Sunday-03-2025</v>
      </c>
      <c r="D21" t="s">
        <v>95</v>
      </c>
      <c r="E21" t="s">
        <v>28</v>
      </c>
      <c r="F21" t="s">
        <v>66</v>
      </c>
      <c r="G21" t="s">
        <v>15</v>
      </c>
      <c r="H21" t="s">
        <v>41</v>
      </c>
      <c r="I21" s="3">
        <v>3112</v>
      </c>
      <c r="J21" s="3">
        <v>622.404</v>
      </c>
      <c r="K21" t="s">
        <v>37</v>
      </c>
      <c r="M21" s="9">
        <v>46042</v>
      </c>
      <c r="N21" s="9">
        <v>46049</v>
      </c>
      <c r="O21" s="13">
        <v>22</v>
      </c>
      <c r="P21" s="15">
        <f>WORKDAY(M21,O21)</f>
        <v>46072</v>
      </c>
      <c r="Q21" s="15">
        <f t="shared" si="4"/>
        <v>46068</v>
      </c>
      <c r="R21" s="15">
        <f t="shared" si="5"/>
        <v>46069</v>
      </c>
    </row>
    <row r="22" spans="1:20" x14ac:dyDescent="0.35">
      <c r="A22" t="s">
        <v>96</v>
      </c>
      <c r="B22" t="s">
        <v>97</v>
      </c>
      <c r="C22" t="str">
        <f t="shared" si="0"/>
        <v>Thursday-04-2025</v>
      </c>
      <c r="D22" t="s">
        <v>98</v>
      </c>
      <c r="E22" t="s">
        <v>61</v>
      </c>
      <c r="F22" t="s">
        <v>99</v>
      </c>
      <c r="G22" t="s">
        <v>30</v>
      </c>
      <c r="H22" t="s">
        <v>16</v>
      </c>
      <c r="I22" s="3">
        <v>1571</v>
      </c>
      <c r="J22" s="3">
        <v>0</v>
      </c>
      <c r="K22" t="s">
        <v>37</v>
      </c>
    </row>
    <row r="23" spans="1:20" ht="15.5" x14ac:dyDescent="0.35">
      <c r="A23" t="s">
        <v>100</v>
      </c>
      <c r="B23" t="s">
        <v>101</v>
      </c>
      <c r="C23" t="str">
        <f t="shared" si="0"/>
        <v>Monday-04-2025</v>
      </c>
      <c r="D23" t="s">
        <v>102</v>
      </c>
      <c r="E23" t="s">
        <v>103</v>
      </c>
      <c r="F23" t="s">
        <v>22</v>
      </c>
      <c r="G23" t="s">
        <v>23</v>
      </c>
      <c r="H23" t="s">
        <v>41</v>
      </c>
      <c r="I23" s="3">
        <v>953</v>
      </c>
      <c r="J23" s="3">
        <v>47.654000000000003</v>
      </c>
      <c r="K23" t="s">
        <v>24</v>
      </c>
      <c r="M23" s="8" t="s">
        <v>2823</v>
      </c>
      <c r="N23" s="8" t="s">
        <v>2822</v>
      </c>
      <c r="O23" s="8" t="s">
        <v>2824</v>
      </c>
      <c r="P23" s="8" t="s">
        <v>2825</v>
      </c>
      <c r="Q23" s="8" t="s">
        <v>2826</v>
      </c>
      <c r="R23" s="8" t="s">
        <v>2827</v>
      </c>
      <c r="S23" s="8" t="s">
        <v>2828</v>
      </c>
      <c r="T23" s="8" t="s">
        <v>2829</v>
      </c>
    </row>
    <row r="24" spans="1:20" x14ac:dyDescent="0.35">
      <c r="A24" t="s">
        <v>104</v>
      </c>
      <c r="C24" t="str">
        <f t="shared" si="0"/>
        <v>Saturday-01-1900</v>
      </c>
      <c r="D24" t="s">
        <v>105</v>
      </c>
      <c r="E24" t="s">
        <v>28</v>
      </c>
      <c r="F24" t="s">
        <v>86</v>
      </c>
      <c r="G24" t="s">
        <v>30</v>
      </c>
      <c r="H24" t="s">
        <v>16</v>
      </c>
      <c r="I24" s="3">
        <v>4400</v>
      </c>
      <c r="J24" s="3">
        <v>293.39333333333332</v>
      </c>
      <c r="K24" t="s">
        <v>17</v>
      </c>
      <c r="M24" s="9">
        <v>46026</v>
      </c>
      <c r="N24" s="9">
        <v>46206</v>
      </c>
      <c r="O24" s="9">
        <v>46057</v>
      </c>
      <c r="P24" s="10">
        <f>_xlfn.DAYS(N24,M24)</f>
        <v>180</v>
      </c>
      <c r="Q24" s="10">
        <f>DAYS360(M24,N24)</f>
        <v>179</v>
      </c>
      <c r="R24" s="10">
        <f>NETWORKDAYS(M24,N24)</f>
        <v>130</v>
      </c>
      <c r="S24" s="10">
        <f>NETWORKDAYS.INTL(M24,N24,11)</f>
        <v>155</v>
      </c>
      <c r="T24" s="10">
        <f>NETWORKDAYS.INTL(M24,N24,1,O24)</f>
        <v>129</v>
      </c>
    </row>
    <row r="25" spans="1:20" x14ac:dyDescent="0.35">
      <c r="A25" t="s">
        <v>106</v>
      </c>
      <c r="C25" t="str">
        <f t="shared" si="0"/>
        <v>Saturday-01-1900</v>
      </c>
      <c r="D25" t="s">
        <v>107</v>
      </c>
      <c r="E25" t="s">
        <v>108</v>
      </c>
      <c r="F25" t="s">
        <v>22</v>
      </c>
      <c r="G25" t="s">
        <v>23</v>
      </c>
      <c r="H25" t="s">
        <v>31</v>
      </c>
      <c r="I25" s="3">
        <v>2752</v>
      </c>
      <c r="J25" s="3">
        <v>550.49799999999993</v>
      </c>
      <c r="K25" t="s">
        <v>37</v>
      </c>
      <c r="M25" s="9">
        <v>46028</v>
      </c>
      <c r="N25" s="9">
        <v>46208</v>
      </c>
      <c r="O25" s="9">
        <v>46089</v>
      </c>
      <c r="P25" s="10">
        <f>_xlfn.DAYS(N25,M25)</f>
        <v>180</v>
      </c>
      <c r="Q25" s="10">
        <f>DAYS360(M25,N25)</f>
        <v>179</v>
      </c>
      <c r="R25" s="10">
        <f>NETWORKDAYS(M25,N25)</f>
        <v>129</v>
      </c>
      <c r="S25" s="10">
        <f>NETWORKDAYS.INTL(M25,N25,11)</f>
        <v>155</v>
      </c>
      <c r="T25" s="10">
        <f>NETWORKDAYS.INTL(M25,N25,1,O25)</f>
        <v>129</v>
      </c>
    </row>
    <row r="26" spans="1:20" x14ac:dyDescent="0.35">
      <c r="A26" t="s">
        <v>109</v>
      </c>
      <c r="B26" t="s">
        <v>110</v>
      </c>
      <c r="C26" t="str">
        <f t="shared" si="0"/>
        <v>Saturday-01-2024</v>
      </c>
      <c r="D26" t="s">
        <v>111</v>
      </c>
      <c r="E26" t="s">
        <v>112</v>
      </c>
      <c r="F26" t="s">
        <v>86</v>
      </c>
      <c r="G26" t="s">
        <v>23</v>
      </c>
      <c r="H26" t="s">
        <v>31</v>
      </c>
      <c r="I26" s="3">
        <v>1756</v>
      </c>
      <c r="J26" s="3">
        <v>175.69200000000001</v>
      </c>
      <c r="K26" t="s">
        <v>37</v>
      </c>
      <c r="M26" s="9">
        <v>46030</v>
      </c>
      <c r="N26" s="9">
        <v>46211</v>
      </c>
      <c r="O26" s="9">
        <v>46121</v>
      </c>
      <c r="P26" s="10">
        <f>_xlfn.DAYS(N26,M26)</f>
        <v>181</v>
      </c>
      <c r="Q26" s="10">
        <f>DAYS360(M26,N26)</f>
        <v>180</v>
      </c>
      <c r="R26" s="10">
        <f>NETWORKDAYS(M26,N26)</f>
        <v>130</v>
      </c>
      <c r="S26" s="10">
        <f>NETWORKDAYS.INTL(M26,N26,11)</f>
        <v>156</v>
      </c>
      <c r="T26" s="10">
        <f>NETWORKDAYS.INTL(M26,N26,1,O26)</f>
        <v>129</v>
      </c>
    </row>
    <row r="27" spans="1:20" x14ac:dyDescent="0.35">
      <c r="A27" t="s">
        <v>113</v>
      </c>
      <c r="B27" t="s">
        <v>114</v>
      </c>
      <c r="C27" t="str">
        <f t="shared" si="0"/>
        <v>Friday-04-2024</v>
      </c>
      <c r="D27" t="s">
        <v>115</v>
      </c>
      <c r="E27" t="s">
        <v>112</v>
      </c>
      <c r="F27" t="s">
        <v>86</v>
      </c>
      <c r="G27" t="s">
        <v>15</v>
      </c>
      <c r="H27" t="s">
        <v>16</v>
      </c>
      <c r="I27" s="3">
        <v>4895</v>
      </c>
      <c r="J27" s="3">
        <v>979.15</v>
      </c>
      <c r="K27" t="s">
        <v>17</v>
      </c>
      <c r="M27" s="9">
        <v>46032</v>
      </c>
      <c r="N27" s="9">
        <v>46212</v>
      </c>
      <c r="O27" s="9">
        <v>46153</v>
      </c>
      <c r="P27" s="10">
        <f>_xlfn.DAYS(N27,M27)</f>
        <v>180</v>
      </c>
      <c r="Q27" s="10">
        <f>DAYS360(M27,N27)</f>
        <v>179</v>
      </c>
      <c r="R27" s="10">
        <f>NETWORKDAYS(M27,N27)</f>
        <v>129</v>
      </c>
      <c r="S27" s="10">
        <f>NETWORKDAYS.INTL(M27,N27,11)</f>
        <v>155</v>
      </c>
      <c r="T27" s="10">
        <f>NETWORKDAYS.INTL(M27,N27,1,O27)</f>
        <v>128</v>
      </c>
    </row>
    <row r="28" spans="1:20" x14ac:dyDescent="0.35">
      <c r="A28" t="s">
        <v>116</v>
      </c>
      <c r="B28" t="s">
        <v>117</v>
      </c>
      <c r="C28" t="str">
        <f t="shared" si="0"/>
        <v xml:space="preserve"> 16/03/2023</v>
      </c>
      <c r="D28" t="s">
        <v>118</v>
      </c>
      <c r="E28" t="s">
        <v>79</v>
      </c>
      <c r="F28" t="s">
        <v>29</v>
      </c>
      <c r="G28" t="s">
        <v>23</v>
      </c>
      <c r="H28" t="s">
        <v>41</v>
      </c>
      <c r="I28" s="3">
        <v>1940</v>
      </c>
      <c r="J28" s="3">
        <v>194.05099999999999</v>
      </c>
      <c r="K28" t="s">
        <v>17</v>
      </c>
      <c r="M28" s="9">
        <v>46034</v>
      </c>
      <c r="N28" s="9">
        <v>46220</v>
      </c>
      <c r="O28" s="9">
        <v>46185</v>
      </c>
      <c r="P28" s="10">
        <f>_xlfn.DAYS(N28,M28)</f>
        <v>186</v>
      </c>
      <c r="Q28" s="10">
        <f>DAYS360(M28,N28)</f>
        <v>185</v>
      </c>
      <c r="R28" s="10">
        <f>NETWORKDAYS(M28,N28)</f>
        <v>135</v>
      </c>
      <c r="S28" s="10">
        <f>NETWORKDAYS.INTL(M28,N28,11)</f>
        <v>161</v>
      </c>
      <c r="T28" s="10">
        <f>NETWORKDAYS.INTL(M28,N28,1,O28)</f>
        <v>134</v>
      </c>
    </row>
    <row r="29" spans="1:20" x14ac:dyDescent="0.35">
      <c r="A29" t="s">
        <v>119</v>
      </c>
      <c r="B29" t="s">
        <v>120</v>
      </c>
      <c r="C29" t="str">
        <f t="shared" si="0"/>
        <v>Wednesday-04-2025</v>
      </c>
      <c r="D29" t="s">
        <v>121</v>
      </c>
      <c r="E29" t="s">
        <v>112</v>
      </c>
      <c r="F29" t="s">
        <v>99</v>
      </c>
      <c r="G29" t="s">
        <v>23</v>
      </c>
      <c r="H29" t="s">
        <v>41</v>
      </c>
      <c r="I29" s="3">
        <v>1152</v>
      </c>
      <c r="J29" s="3">
        <v>115.23399999999999</v>
      </c>
      <c r="K29" t="s">
        <v>37</v>
      </c>
      <c r="M29" s="9">
        <v>46036</v>
      </c>
      <c r="N29" s="9">
        <v>46216</v>
      </c>
      <c r="O29" s="9">
        <v>46217</v>
      </c>
      <c r="P29" s="10">
        <f>_xlfn.DAYS(N29,M29)</f>
        <v>180</v>
      </c>
      <c r="Q29" s="10">
        <f>DAYS360(M29,N29)</f>
        <v>179</v>
      </c>
      <c r="R29" s="10">
        <f>NETWORKDAYS(M29,N29)</f>
        <v>129</v>
      </c>
      <c r="S29" s="10">
        <f>NETWORKDAYS.INTL(M29,N29,11)</f>
        <v>155</v>
      </c>
      <c r="T29" s="10">
        <f>NETWORKDAYS.INTL(M29,N29,1,O29)</f>
        <v>129</v>
      </c>
    </row>
    <row r="30" spans="1:20" x14ac:dyDescent="0.35">
      <c r="A30" t="s">
        <v>122</v>
      </c>
      <c r="B30" t="s">
        <v>123</v>
      </c>
      <c r="C30" t="str">
        <f t="shared" si="0"/>
        <v>Sunday-05-2024</v>
      </c>
      <c r="D30" t="s">
        <v>124</v>
      </c>
      <c r="E30" t="s">
        <v>35</v>
      </c>
      <c r="F30" t="s">
        <v>99</v>
      </c>
      <c r="G30" t="s">
        <v>30</v>
      </c>
      <c r="H30" t="s">
        <v>16</v>
      </c>
      <c r="I30" s="3">
        <v>1313</v>
      </c>
      <c r="J30" s="3">
        <v>131.31900000000002</v>
      </c>
      <c r="K30" t="s">
        <v>37</v>
      </c>
      <c r="M30" s="9">
        <v>46038</v>
      </c>
      <c r="N30" s="9">
        <v>46218</v>
      </c>
      <c r="O30" s="9">
        <v>46249</v>
      </c>
      <c r="P30" s="10">
        <f>_xlfn.DAYS(N30,M30)</f>
        <v>180</v>
      </c>
      <c r="Q30" s="10">
        <f>DAYS360(M30,N30)</f>
        <v>179</v>
      </c>
      <c r="R30" s="10">
        <f>NETWORKDAYS(M30,N30)</f>
        <v>129</v>
      </c>
      <c r="S30" s="10">
        <f>NETWORKDAYS.INTL(M30,N30,11)</f>
        <v>155</v>
      </c>
      <c r="T30" s="10">
        <f>NETWORKDAYS.INTL(M30,N30,1,O30)</f>
        <v>129</v>
      </c>
    </row>
    <row r="31" spans="1:20" x14ac:dyDescent="0.35">
      <c r="A31" t="s">
        <v>125</v>
      </c>
      <c r="B31" t="s">
        <v>126</v>
      </c>
      <c r="C31" t="str">
        <f t="shared" si="0"/>
        <v>Sunday-05-2024</v>
      </c>
      <c r="D31" t="s">
        <v>127</v>
      </c>
      <c r="E31" t="s">
        <v>112</v>
      </c>
      <c r="F31" t="s">
        <v>14</v>
      </c>
      <c r="G31" t="s">
        <v>30</v>
      </c>
      <c r="H31" t="s">
        <v>16</v>
      </c>
      <c r="I31" s="3">
        <v>3307</v>
      </c>
      <c r="J31" s="3">
        <v>0</v>
      </c>
      <c r="K31" t="s">
        <v>24</v>
      </c>
      <c r="M31" s="9">
        <v>46040</v>
      </c>
      <c r="N31" s="9">
        <v>46232</v>
      </c>
      <c r="O31" s="9">
        <v>46276</v>
      </c>
      <c r="P31" s="10">
        <f>_xlfn.DAYS(N31,M31)</f>
        <v>192</v>
      </c>
      <c r="Q31" s="10">
        <f>DAYS360(M31,N31)</f>
        <v>191</v>
      </c>
      <c r="R31" s="10">
        <f>NETWORKDAYS(M31,N31)</f>
        <v>138</v>
      </c>
      <c r="S31" s="10">
        <f>NETWORKDAYS.INTL(M31,N31,11)</f>
        <v>165</v>
      </c>
      <c r="T31" s="10">
        <f>NETWORKDAYS.INTL(M31,N31,1,O31)</f>
        <v>138</v>
      </c>
    </row>
    <row r="32" spans="1:20" x14ac:dyDescent="0.35">
      <c r="A32" t="s">
        <v>128</v>
      </c>
      <c r="B32" t="s">
        <v>129</v>
      </c>
      <c r="C32" t="str">
        <f t="shared" si="0"/>
        <v>Friday-03-2024</v>
      </c>
      <c r="D32" t="s">
        <v>130</v>
      </c>
      <c r="E32" t="s">
        <v>103</v>
      </c>
      <c r="F32" t="s">
        <v>99</v>
      </c>
      <c r="G32" t="s">
        <v>15</v>
      </c>
      <c r="H32" t="s">
        <v>41</v>
      </c>
      <c r="I32" s="3">
        <v>1780</v>
      </c>
      <c r="J32" s="3">
        <v>356.15999999999997</v>
      </c>
      <c r="K32" t="s">
        <v>37</v>
      </c>
      <c r="M32" s="9">
        <v>46042</v>
      </c>
      <c r="N32" s="9">
        <v>46222</v>
      </c>
      <c r="O32" s="9">
        <v>46130</v>
      </c>
      <c r="P32" s="10">
        <f>_xlfn.DAYS(N32,M32)</f>
        <v>180</v>
      </c>
      <c r="Q32" s="10">
        <f>DAYS360(M32,N32)</f>
        <v>179</v>
      </c>
      <c r="R32" s="10">
        <f>NETWORKDAYS(M32,N32)</f>
        <v>129</v>
      </c>
      <c r="S32" s="10">
        <f>NETWORKDAYS.INTL(M32,N32,11)</f>
        <v>155</v>
      </c>
      <c r="T32" s="10">
        <f>NETWORKDAYS.INTL(M32,N32,1,O32)</f>
        <v>129</v>
      </c>
    </row>
    <row r="33" spans="1:15" x14ac:dyDescent="0.35">
      <c r="A33" t="s">
        <v>131</v>
      </c>
      <c r="B33" t="s">
        <v>132</v>
      </c>
      <c r="C33" t="str">
        <f t="shared" si="0"/>
        <v xml:space="preserve"> 04-18-2024</v>
      </c>
      <c r="D33" t="s">
        <v>133</v>
      </c>
      <c r="E33" t="s">
        <v>103</v>
      </c>
      <c r="F33" t="s">
        <v>36</v>
      </c>
      <c r="G33" t="s">
        <v>15</v>
      </c>
      <c r="H33" t="s">
        <v>31</v>
      </c>
      <c r="I33" s="3">
        <v>119</v>
      </c>
      <c r="J33" s="3">
        <v>5.9770000000000003</v>
      </c>
      <c r="K33" t="s">
        <v>17</v>
      </c>
    </row>
    <row r="34" spans="1:15" x14ac:dyDescent="0.35">
      <c r="A34" t="s">
        <v>134</v>
      </c>
      <c r="B34" t="s">
        <v>135</v>
      </c>
      <c r="C34" t="str">
        <f t="shared" si="0"/>
        <v>Monday-11-2024</v>
      </c>
      <c r="D34" t="s">
        <v>136</v>
      </c>
      <c r="E34" t="s">
        <v>45</v>
      </c>
      <c r="F34" t="s">
        <v>14</v>
      </c>
      <c r="G34" t="s">
        <v>23</v>
      </c>
      <c r="H34" t="s">
        <v>41</v>
      </c>
      <c r="I34" s="3">
        <v>3429</v>
      </c>
      <c r="J34" s="3">
        <v>171.45</v>
      </c>
      <c r="K34" t="s">
        <v>37</v>
      </c>
    </row>
    <row r="35" spans="1:15" x14ac:dyDescent="0.35">
      <c r="A35" t="s">
        <v>137</v>
      </c>
      <c r="B35" t="s">
        <v>138</v>
      </c>
      <c r="C35" t="str">
        <f t="shared" si="0"/>
        <v>Monday-01-2025</v>
      </c>
      <c r="D35" t="s">
        <v>139</v>
      </c>
      <c r="E35" t="s">
        <v>49</v>
      </c>
      <c r="F35" t="s">
        <v>62</v>
      </c>
      <c r="G35" t="s">
        <v>15</v>
      </c>
      <c r="H35" t="s">
        <v>31</v>
      </c>
      <c r="I35" s="3">
        <v>4482</v>
      </c>
      <c r="J35" s="3">
        <v>0</v>
      </c>
      <c r="K35" t="s">
        <v>37</v>
      </c>
    </row>
    <row r="36" spans="1:15" x14ac:dyDescent="0.35">
      <c r="A36" t="s">
        <v>140</v>
      </c>
      <c r="B36" t="s">
        <v>141</v>
      </c>
      <c r="C36" t="str">
        <f t="shared" si="0"/>
        <v>Tuesday-02-2025</v>
      </c>
      <c r="D36" t="s">
        <v>142</v>
      </c>
      <c r="E36" t="s">
        <v>35</v>
      </c>
      <c r="F36" t="s">
        <v>143</v>
      </c>
      <c r="G36" t="s">
        <v>23</v>
      </c>
      <c r="H36" t="s">
        <v>31</v>
      </c>
      <c r="I36" s="3">
        <v>3609</v>
      </c>
      <c r="J36" s="3">
        <v>0</v>
      </c>
      <c r="K36" t="s">
        <v>17</v>
      </c>
    </row>
    <row r="37" spans="1:15" x14ac:dyDescent="0.35">
      <c r="A37" t="s">
        <v>144</v>
      </c>
      <c r="B37" t="s">
        <v>145</v>
      </c>
      <c r="C37" t="str">
        <f t="shared" si="0"/>
        <v>Saturday-05-2025</v>
      </c>
      <c r="D37" t="s">
        <v>146</v>
      </c>
      <c r="E37" t="s">
        <v>35</v>
      </c>
      <c r="F37" t="s">
        <v>14</v>
      </c>
      <c r="G37" t="s">
        <v>15</v>
      </c>
      <c r="H37" t="s">
        <v>41</v>
      </c>
      <c r="I37" s="3">
        <v>2077</v>
      </c>
      <c r="J37" s="3">
        <v>0</v>
      </c>
      <c r="K37" t="s">
        <v>37</v>
      </c>
    </row>
    <row r="38" spans="1:15" x14ac:dyDescent="0.35">
      <c r="A38" t="s">
        <v>147</v>
      </c>
      <c r="B38" t="s">
        <v>148</v>
      </c>
      <c r="C38" t="str">
        <f t="shared" si="0"/>
        <v xml:space="preserve"> 03-09-2025 11:09</v>
      </c>
      <c r="D38" t="s">
        <v>149</v>
      </c>
      <c r="E38" t="s">
        <v>45</v>
      </c>
      <c r="F38" t="s">
        <v>14</v>
      </c>
      <c r="G38" t="s">
        <v>15</v>
      </c>
      <c r="H38" t="s">
        <v>16</v>
      </c>
      <c r="I38" s="3">
        <v>1548</v>
      </c>
      <c r="J38" s="3">
        <v>154.84200000000001</v>
      </c>
      <c r="K38" t="s">
        <v>17</v>
      </c>
      <c r="N38" s="9"/>
      <c r="O38" s="9"/>
    </row>
    <row r="39" spans="1:15" x14ac:dyDescent="0.35">
      <c r="A39" t="s">
        <v>150</v>
      </c>
      <c r="B39" t="s">
        <v>151</v>
      </c>
      <c r="C39" t="str">
        <f t="shared" si="0"/>
        <v>Tuesday-05-2024</v>
      </c>
      <c r="D39" t="s">
        <v>152</v>
      </c>
      <c r="E39" t="s">
        <v>35</v>
      </c>
      <c r="F39" t="s">
        <v>29</v>
      </c>
      <c r="G39" t="s">
        <v>30</v>
      </c>
      <c r="H39" t="s">
        <v>31</v>
      </c>
      <c r="I39" s="3">
        <v>2104</v>
      </c>
      <c r="J39" s="3">
        <v>0</v>
      </c>
      <c r="K39" t="s">
        <v>24</v>
      </c>
      <c r="O39" s="4"/>
    </row>
    <row r="40" spans="1:15" x14ac:dyDescent="0.35">
      <c r="A40" t="s">
        <v>153</v>
      </c>
      <c r="B40" t="s">
        <v>154</v>
      </c>
      <c r="C40" t="str">
        <f t="shared" si="0"/>
        <v>06-21-2023</v>
      </c>
      <c r="D40" t="s">
        <v>155</v>
      </c>
      <c r="E40" t="s">
        <v>28</v>
      </c>
      <c r="F40" t="s">
        <v>36</v>
      </c>
      <c r="G40" t="s">
        <v>30</v>
      </c>
      <c r="H40" t="s">
        <v>16</v>
      </c>
      <c r="I40" s="3">
        <v>414</v>
      </c>
      <c r="J40" s="3">
        <v>41.45</v>
      </c>
      <c r="K40" t="s">
        <v>17</v>
      </c>
      <c r="O40" s="4"/>
    </row>
    <row r="41" spans="1:15" x14ac:dyDescent="0.35">
      <c r="A41" t="s">
        <v>156</v>
      </c>
      <c r="B41" t="s">
        <v>157</v>
      </c>
      <c r="C41" t="str">
        <f t="shared" si="0"/>
        <v>Monday-06-2025</v>
      </c>
      <c r="D41" t="s">
        <v>158</v>
      </c>
      <c r="E41" t="s">
        <v>28</v>
      </c>
      <c r="F41" t="s">
        <v>99</v>
      </c>
      <c r="G41" t="s">
        <v>15</v>
      </c>
      <c r="H41" t="s">
        <v>31</v>
      </c>
      <c r="I41" s="3">
        <v>4064</v>
      </c>
      <c r="J41" s="3">
        <v>406.45100000000002</v>
      </c>
      <c r="K41" t="s">
        <v>17</v>
      </c>
      <c r="O41" s="4"/>
    </row>
    <row r="42" spans="1:15" x14ac:dyDescent="0.35">
      <c r="A42" t="s">
        <v>159</v>
      </c>
      <c r="B42" t="s">
        <v>160</v>
      </c>
      <c r="C42" t="str">
        <f t="shared" si="0"/>
        <v>Monday-05-2025</v>
      </c>
      <c r="D42" t="s">
        <v>161</v>
      </c>
      <c r="E42" t="s">
        <v>108</v>
      </c>
      <c r="F42" t="s">
        <v>86</v>
      </c>
      <c r="G42" t="s">
        <v>15</v>
      </c>
      <c r="H42" t="s">
        <v>41</v>
      </c>
      <c r="I42" s="3">
        <v>1156</v>
      </c>
      <c r="J42" s="3">
        <v>115.675</v>
      </c>
      <c r="K42" t="s">
        <v>37</v>
      </c>
      <c r="O42" s="4"/>
    </row>
    <row r="43" spans="1:15" x14ac:dyDescent="0.35">
      <c r="A43" t="s">
        <v>162</v>
      </c>
      <c r="B43" t="s">
        <v>163</v>
      </c>
      <c r="C43" t="str">
        <f t="shared" si="0"/>
        <v>Saturday-01-2025</v>
      </c>
      <c r="D43" t="s">
        <v>164</v>
      </c>
      <c r="E43" t="s">
        <v>112</v>
      </c>
      <c r="F43" t="s">
        <v>36</v>
      </c>
      <c r="G43" t="s">
        <v>30</v>
      </c>
      <c r="H43" t="s">
        <v>41</v>
      </c>
      <c r="I43" s="3">
        <v>3779</v>
      </c>
      <c r="J43" s="3">
        <v>377.98599999999999</v>
      </c>
      <c r="K43" t="s">
        <v>24</v>
      </c>
      <c r="O43" s="4"/>
    </row>
    <row r="44" spans="1:15" x14ac:dyDescent="0.35">
      <c r="A44" t="s">
        <v>165</v>
      </c>
      <c r="B44" t="s">
        <v>166</v>
      </c>
      <c r="C44" t="str">
        <f t="shared" si="0"/>
        <v>Saturday-01-2023</v>
      </c>
      <c r="D44" t="s">
        <v>167</v>
      </c>
      <c r="E44" t="s">
        <v>61</v>
      </c>
      <c r="F44" t="s">
        <v>29</v>
      </c>
      <c r="G44" t="s">
        <v>30</v>
      </c>
      <c r="H44" t="s">
        <v>16</v>
      </c>
      <c r="I44" s="3">
        <v>4297</v>
      </c>
      <c r="J44" s="3">
        <v>429.779</v>
      </c>
      <c r="K44" t="s">
        <v>24</v>
      </c>
      <c r="O44" s="4"/>
    </row>
    <row r="45" spans="1:15" x14ac:dyDescent="0.35">
      <c r="A45" t="s">
        <v>168</v>
      </c>
      <c r="B45" t="s">
        <v>169</v>
      </c>
      <c r="C45" t="str">
        <f t="shared" si="0"/>
        <v xml:space="preserve"> 09-Jun-2023 19:41</v>
      </c>
      <c r="D45" t="s">
        <v>170</v>
      </c>
      <c r="E45" t="s">
        <v>108</v>
      </c>
      <c r="F45" t="s">
        <v>22</v>
      </c>
      <c r="G45" t="s">
        <v>30</v>
      </c>
      <c r="H45" t="s">
        <v>41</v>
      </c>
      <c r="I45" s="3">
        <v>76</v>
      </c>
      <c r="J45" s="3">
        <v>7.6069999999999993</v>
      </c>
      <c r="K45" t="s">
        <v>17</v>
      </c>
      <c r="O45" s="4"/>
    </row>
    <row r="46" spans="1:15" x14ac:dyDescent="0.35">
      <c r="A46" t="s">
        <v>171</v>
      </c>
      <c r="B46" t="s">
        <v>172</v>
      </c>
      <c r="C46" t="str">
        <f t="shared" si="0"/>
        <v>Wednesday-12-2024</v>
      </c>
      <c r="D46" t="s">
        <v>173</v>
      </c>
      <c r="E46" t="s">
        <v>21</v>
      </c>
      <c r="F46" t="s">
        <v>57</v>
      </c>
      <c r="G46" t="s">
        <v>30</v>
      </c>
      <c r="H46" t="s">
        <v>31</v>
      </c>
      <c r="I46" s="3">
        <v>2698</v>
      </c>
      <c r="J46" s="3">
        <v>269.87900000000002</v>
      </c>
      <c r="K46" t="s">
        <v>24</v>
      </c>
      <c r="O46" s="4"/>
    </row>
    <row r="47" spans="1:15" x14ac:dyDescent="0.35">
      <c r="A47" t="s">
        <v>174</v>
      </c>
      <c r="B47" t="s">
        <v>175</v>
      </c>
      <c r="C47" t="str">
        <f t="shared" si="0"/>
        <v>05-31-2025</v>
      </c>
      <c r="D47" t="s">
        <v>176</v>
      </c>
      <c r="E47" t="s">
        <v>45</v>
      </c>
      <c r="F47" t="s">
        <v>36</v>
      </c>
      <c r="G47" t="s">
        <v>15</v>
      </c>
      <c r="H47" t="s">
        <v>41</v>
      </c>
      <c r="I47" s="3">
        <v>1229</v>
      </c>
      <c r="J47" s="3">
        <v>122.92400000000001</v>
      </c>
      <c r="K47" t="s">
        <v>24</v>
      </c>
      <c r="O47" s="4"/>
    </row>
    <row r="48" spans="1:15" x14ac:dyDescent="0.35">
      <c r="A48" t="s">
        <v>177</v>
      </c>
      <c r="B48" t="s">
        <v>178</v>
      </c>
      <c r="C48" t="str">
        <f t="shared" si="0"/>
        <v>Wednesday-01-2025</v>
      </c>
      <c r="D48" t="s">
        <v>179</v>
      </c>
      <c r="E48" t="s">
        <v>45</v>
      </c>
      <c r="F48" t="s">
        <v>36</v>
      </c>
      <c r="G48" t="s">
        <v>15</v>
      </c>
      <c r="H48" t="s">
        <v>16</v>
      </c>
      <c r="I48" s="3">
        <v>2983</v>
      </c>
      <c r="J48" s="3">
        <v>149.15550000000002</v>
      </c>
      <c r="K48" t="s">
        <v>37</v>
      </c>
    </row>
    <row r="49" spans="1:11" x14ac:dyDescent="0.35">
      <c r="A49" t="s">
        <v>180</v>
      </c>
      <c r="B49" t="s">
        <v>181</v>
      </c>
      <c r="C49" t="str">
        <f t="shared" si="0"/>
        <v>Tuesday-09-2024</v>
      </c>
      <c r="D49" t="s">
        <v>182</v>
      </c>
      <c r="E49" t="s">
        <v>103</v>
      </c>
      <c r="F49" t="s">
        <v>99</v>
      </c>
      <c r="G49" t="s">
        <v>23</v>
      </c>
      <c r="H49" t="s">
        <v>41</v>
      </c>
      <c r="I49" s="3">
        <v>1289</v>
      </c>
      <c r="J49" s="3">
        <v>257.82600000000002</v>
      </c>
      <c r="K49" t="s">
        <v>24</v>
      </c>
    </row>
    <row r="50" spans="1:11" x14ac:dyDescent="0.35">
      <c r="A50" t="s">
        <v>183</v>
      </c>
      <c r="B50" t="s">
        <v>184</v>
      </c>
      <c r="C50" t="str">
        <f t="shared" si="0"/>
        <v>Wednesday-12-2024</v>
      </c>
      <c r="D50" t="s">
        <v>185</v>
      </c>
      <c r="E50" t="s">
        <v>49</v>
      </c>
      <c r="F50" t="s">
        <v>99</v>
      </c>
      <c r="G50" t="s">
        <v>30</v>
      </c>
      <c r="H50" t="s">
        <v>16</v>
      </c>
      <c r="I50" s="3">
        <v>3180</v>
      </c>
      <c r="J50" s="3">
        <v>212.05</v>
      </c>
      <c r="K50" t="s">
        <v>17</v>
      </c>
    </row>
    <row r="51" spans="1:11" x14ac:dyDescent="0.35">
      <c r="A51" t="s">
        <v>186</v>
      </c>
      <c r="B51" t="s">
        <v>187</v>
      </c>
      <c r="C51" t="str">
        <f t="shared" si="0"/>
        <v>03-20-2023 06:33</v>
      </c>
      <c r="D51" t="s">
        <v>188</v>
      </c>
      <c r="E51" t="s">
        <v>35</v>
      </c>
      <c r="F51" t="s">
        <v>29</v>
      </c>
      <c r="G51" t="s">
        <v>30</v>
      </c>
      <c r="H51" t="s">
        <v>16</v>
      </c>
      <c r="I51" s="3">
        <v>426</v>
      </c>
      <c r="J51" s="3">
        <v>0</v>
      </c>
      <c r="K51" t="s">
        <v>37</v>
      </c>
    </row>
    <row r="52" spans="1:11" x14ac:dyDescent="0.35">
      <c r="A52" t="s">
        <v>189</v>
      </c>
      <c r="B52" t="s">
        <v>190</v>
      </c>
      <c r="C52" t="str">
        <f t="shared" si="0"/>
        <v>Saturday-04-2023</v>
      </c>
      <c r="D52" t="s">
        <v>191</v>
      </c>
      <c r="E52" t="s">
        <v>45</v>
      </c>
      <c r="F52" t="s">
        <v>36</v>
      </c>
      <c r="G52" t="s">
        <v>23</v>
      </c>
      <c r="H52" t="s">
        <v>16</v>
      </c>
      <c r="I52" s="3">
        <v>2138</v>
      </c>
      <c r="J52" s="3">
        <v>0</v>
      </c>
      <c r="K52" t="s">
        <v>17</v>
      </c>
    </row>
    <row r="53" spans="1:11" x14ac:dyDescent="0.35">
      <c r="A53" t="s">
        <v>192</v>
      </c>
      <c r="B53" t="s">
        <v>193</v>
      </c>
      <c r="C53" t="str">
        <f t="shared" si="0"/>
        <v>03-25-2024 18:02</v>
      </c>
      <c r="D53" t="s">
        <v>194</v>
      </c>
      <c r="E53" t="s">
        <v>108</v>
      </c>
      <c r="F53" t="s">
        <v>29</v>
      </c>
      <c r="G53" t="s">
        <v>15</v>
      </c>
      <c r="H53" t="s">
        <v>41</v>
      </c>
      <c r="I53" s="3">
        <v>3696</v>
      </c>
      <c r="J53" s="3">
        <v>739.35799999999995</v>
      </c>
      <c r="K53" t="s">
        <v>24</v>
      </c>
    </row>
    <row r="54" spans="1:11" x14ac:dyDescent="0.35">
      <c r="A54" t="s">
        <v>195</v>
      </c>
      <c r="B54" t="s">
        <v>196</v>
      </c>
      <c r="C54" t="str">
        <f t="shared" si="0"/>
        <v>Tuesday-04-2025</v>
      </c>
      <c r="D54" t="s">
        <v>197</v>
      </c>
      <c r="E54" t="s">
        <v>112</v>
      </c>
      <c r="F54" t="s">
        <v>99</v>
      </c>
      <c r="G54" t="s">
        <v>15</v>
      </c>
      <c r="H54" t="s">
        <v>31</v>
      </c>
      <c r="I54" s="3">
        <v>297</v>
      </c>
      <c r="J54" s="3">
        <v>0</v>
      </c>
      <c r="K54" t="s">
        <v>24</v>
      </c>
    </row>
    <row r="55" spans="1:11" x14ac:dyDescent="0.35">
      <c r="A55" t="s">
        <v>198</v>
      </c>
      <c r="C55" t="str">
        <f t="shared" si="0"/>
        <v>Saturday-01-1900</v>
      </c>
      <c r="D55" t="s">
        <v>199</v>
      </c>
      <c r="E55" t="s">
        <v>35</v>
      </c>
      <c r="F55" t="s">
        <v>22</v>
      </c>
      <c r="G55" t="s">
        <v>30</v>
      </c>
      <c r="H55" t="s">
        <v>41</v>
      </c>
      <c r="I55" s="3">
        <v>2107</v>
      </c>
      <c r="J55" s="3">
        <v>210.74699999999999</v>
      </c>
      <c r="K55" t="s">
        <v>24</v>
      </c>
    </row>
    <row r="56" spans="1:11" x14ac:dyDescent="0.35">
      <c r="A56" t="s">
        <v>200</v>
      </c>
      <c r="B56" t="s">
        <v>201</v>
      </c>
      <c r="C56" t="str">
        <f t="shared" si="0"/>
        <v>Sunday-02-2025</v>
      </c>
      <c r="E56" t="s">
        <v>202</v>
      </c>
      <c r="F56" t="s">
        <v>22</v>
      </c>
      <c r="G56" t="s">
        <v>30</v>
      </c>
      <c r="H56" t="s">
        <v>41</v>
      </c>
      <c r="I56" s="3">
        <v>241</v>
      </c>
      <c r="J56" s="3">
        <v>24.102</v>
      </c>
      <c r="K56" t="s">
        <v>37</v>
      </c>
    </row>
    <row r="57" spans="1:11" x14ac:dyDescent="0.35">
      <c r="A57" t="s">
        <v>203</v>
      </c>
      <c r="B57" t="s">
        <v>204</v>
      </c>
      <c r="C57" t="str">
        <f t="shared" si="0"/>
        <v>Saturday-04-2024</v>
      </c>
      <c r="D57" t="s">
        <v>205</v>
      </c>
      <c r="E57" t="s">
        <v>49</v>
      </c>
      <c r="F57" t="s">
        <v>29</v>
      </c>
      <c r="G57" t="s">
        <v>30</v>
      </c>
      <c r="H57" t="s">
        <v>31</v>
      </c>
      <c r="I57" s="3">
        <v>1525</v>
      </c>
      <c r="J57" s="3">
        <v>0</v>
      </c>
      <c r="K57" t="s">
        <v>17</v>
      </c>
    </row>
    <row r="58" spans="1:11" x14ac:dyDescent="0.35">
      <c r="A58" t="s">
        <v>206</v>
      </c>
      <c r="B58" t="s">
        <v>207</v>
      </c>
      <c r="C58" t="str">
        <f t="shared" si="0"/>
        <v>Monday-09-2024</v>
      </c>
      <c r="D58" t="s">
        <v>208</v>
      </c>
      <c r="E58" t="s">
        <v>28</v>
      </c>
      <c r="F58" t="s">
        <v>66</v>
      </c>
      <c r="G58" t="s">
        <v>23</v>
      </c>
      <c r="H58" t="s">
        <v>31</v>
      </c>
      <c r="I58" s="3">
        <v>51</v>
      </c>
      <c r="J58" s="3">
        <v>2.556</v>
      </c>
      <c r="K58" t="s">
        <v>37</v>
      </c>
    </row>
    <row r="59" spans="1:11" x14ac:dyDescent="0.35">
      <c r="A59" t="s">
        <v>209</v>
      </c>
      <c r="B59" t="s">
        <v>210</v>
      </c>
      <c r="C59" t="str">
        <f t="shared" si="0"/>
        <v>12-26-2023</v>
      </c>
      <c r="D59" t="s">
        <v>211</v>
      </c>
      <c r="E59" t="s">
        <v>49</v>
      </c>
      <c r="F59" t="s">
        <v>29</v>
      </c>
      <c r="G59" t="s">
        <v>30</v>
      </c>
      <c r="H59" t="s">
        <v>16</v>
      </c>
      <c r="I59" s="3">
        <v>2401</v>
      </c>
      <c r="J59" s="3">
        <v>0</v>
      </c>
      <c r="K59" t="s">
        <v>37</v>
      </c>
    </row>
    <row r="60" spans="1:11" x14ac:dyDescent="0.35">
      <c r="A60" t="s">
        <v>212</v>
      </c>
      <c r="B60" t="s">
        <v>213</v>
      </c>
      <c r="C60" t="str">
        <f t="shared" si="0"/>
        <v>Saturday-04-2024</v>
      </c>
      <c r="D60" t="s">
        <v>214</v>
      </c>
      <c r="E60" t="s">
        <v>13</v>
      </c>
      <c r="F60" t="s">
        <v>29</v>
      </c>
      <c r="G60" t="s">
        <v>30</v>
      </c>
      <c r="H60" t="s">
        <v>31</v>
      </c>
      <c r="I60" s="3">
        <v>4204</v>
      </c>
      <c r="J60" s="3">
        <v>280.27466666666663</v>
      </c>
      <c r="K60" t="s">
        <v>24</v>
      </c>
    </row>
    <row r="61" spans="1:11" x14ac:dyDescent="0.35">
      <c r="A61" t="s">
        <v>215</v>
      </c>
      <c r="B61" t="s">
        <v>216</v>
      </c>
      <c r="C61" t="str">
        <f t="shared" si="0"/>
        <v>Monday-01-2024</v>
      </c>
      <c r="D61" t="s">
        <v>217</v>
      </c>
      <c r="E61" t="s">
        <v>13</v>
      </c>
      <c r="F61" t="s">
        <v>22</v>
      </c>
      <c r="G61" t="s">
        <v>30</v>
      </c>
      <c r="H61" t="s">
        <v>16</v>
      </c>
      <c r="I61" s="3">
        <v>4720</v>
      </c>
      <c r="J61" s="3">
        <v>472.03199999999998</v>
      </c>
      <c r="K61" t="s">
        <v>17</v>
      </c>
    </row>
    <row r="62" spans="1:11" x14ac:dyDescent="0.35">
      <c r="A62" t="s">
        <v>218</v>
      </c>
      <c r="B62" t="s">
        <v>219</v>
      </c>
      <c r="C62" t="str">
        <f t="shared" si="0"/>
        <v>Saturday-04-2023</v>
      </c>
      <c r="D62" t="s">
        <v>220</v>
      </c>
      <c r="E62" t="s">
        <v>103</v>
      </c>
      <c r="F62" t="s">
        <v>36</v>
      </c>
      <c r="G62" t="s">
        <v>15</v>
      </c>
      <c r="H62" t="s">
        <v>16</v>
      </c>
      <c r="I62" s="3">
        <v>3358</v>
      </c>
      <c r="J62" s="3">
        <v>335.86</v>
      </c>
      <c r="K62" t="s">
        <v>24</v>
      </c>
    </row>
    <row r="63" spans="1:11" x14ac:dyDescent="0.35">
      <c r="A63" t="s">
        <v>221</v>
      </c>
      <c r="B63" t="s">
        <v>222</v>
      </c>
      <c r="C63" t="str">
        <f t="shared" si="0"/>
        <v xml:space="preserve"> 09-15-2024</v>
      </c>
      <c r="D63" t="s">
        <v>223</v>
      </c>
      <c r="E63" t="s">
        <v>45</v>
      </c>
      <c r="F63" t="s">
        <v>36</v>
      </c>
      <c r="G63" t="s">
        <v>15</v>
      </c>
      <c r="H63" t="s">
        <v>41</v>
      </c>
      <c r="I63" s="3">
        <v>1264</v>
      </c>
      <c r="J63" s="3">
        <v>84.305333333333323</v>
      </c>
      <c r="K63" t="s">
        <v>24</v>
      </c>
    </row>
    <row r="64" spans="1:11" x14ac:dyDescent="0.35">
      <c r="A64" t="s">
        <v>224</v>
      </c>
      <c r="B64" t="s">
        <v>225</v>
      </c>
      <c r="C64" t="str">
        <f t="shared" si="0"/>
        <v>Friday-03-2024</v>
      </c>
      <c r="D64" t="s">
        <v>226</v>
      </c>
      <c r="E64" t="s">
        <v>53</v>
      </c>
      <c r="F64" t="s">
        <v>36</v>
      </c>
      <c r="G64" t="s">
        <v>30</v>
      </c>
      <c r="H64" t="s">
        <v>31</v>
      </c>
      <c r="I64" s="3">
        <v>4813</v>
      </c>
      <c r="J64" s="3">
        <v>481.30200000000002</v>
      </c>
      <c r="K64" t="s">
        <v>24</v>
      </c>
    </row>
    <row r="65" spans="1:11" x14ac:dyDescent="0.35">
      <c r="A65" t="s">
        <v>227</v>
      </c>
      <c r="B65" t="s">
        <v>228</v>
      </c>
      <c r="C65" t="str">
        <f t="shared" si="0"/>
        <v>Sunday-12-2024</v>
      </c>
      <c r="E65" t="s">
        <v>28</v>
      </c>
      <c r="F65" t="s">
        <v>36</v>
      </c>
      <c r="G65" t="s">
        <v>15</v>
      </c>
      <c r="H65" t="s">
        <v>16</v>
      </c>
      <c r="I65" s="3">
        <v>280</v>
      </c>
      <c r="J65" s="3">
        <v>28.000999999999998</v>
      </c>
      <c r="K65" t="s">
        <v>24</v>
      </c>
    </row>
    <row r="66" spans="1:11" x14ac:dyDescent="0.35">
      <c r="A66" t="s">
        <v>229</v>
      </c>
      <c r="B66" t="s">
        <v>230</v>
      </c>
      <c r="C66" t="str">
        <f t="shared" si="0"/>
        <v>Thursday-05-2024</v>
      </c>
      <c r="D66" t="s">
        <v>231</v>
      </c>
      <c r="E66" t="s">
        <v>112</v>
      </c>
      <c r="F66" t="s">
        <v>66</v>
      </c>
      <c r="G66" t="s">
        <v>15</v>
      </c>
      <c r="H66" t="s">
        <v>41</v>
      </c>
      <c r="I66" s="3">
        <v>2748</v>
      </c>
      <c r="J66" s="3">
        <v>549.73599999999999</v>
      </c>
      <c r="K66" t="s">
        <v>24</v>
      </c>
    </row>
    <row r="67" spans="1:11" x14ac:dyDescent="0.35">
      <c r="A67" t="s">
        <v>232</v>
      </c>
      <c r="B67" t="s">
        <v>233</v>
      </c>
      <c r="C67" t="str">
        <f t="shared" ref="C67:C130" si="6">TEXT(B67,"dddd-mm-yyyy")</f>
        <v>Sunday-01-2023</v>
      </c>
      <c r="D67" t="s">
        <v>234</v>
      </c>
      <c r="E67" t="s">
        <v>28</v>
      </c>
      <c r="F67" t="s">
        <v>22</v>
      </c>
      <c r="G67" t="s">
        <v>15</v>
      </c>
      <c r="H67" t="s">
        <v>31</v>
      </c>
      <c r="I67" s="3">
        <v>4601</v>
      </c>
      <c r="J67" s="3">
        <v>306.74533333333335</v>
      </c>
      <c r="K67" t="s">
        <v>37</v>
      </c>
    </row>
    <row r="68" spans="1:11" x14ac:dyDescent="0.35">
      <c r="A68" t="s">
        <v>235</v>
      </c>
      <c r="B68" t="s">
        <v>236</v>
      </c>
      <c r="C68" t="str">
        <f t="shared" si="6"/>
        <v>Thursday-12-2023</v>
      </c>
      <c r="D68" t="s">
        <v>237</v>
      </c>
      <c r="E68" t="s">
        <v>108</v>
      </c>
      <c r="F68" t="s">
        <v>29</v>
      </c>
      <c r="G68" t="s">
        <v>23</v>
      </c>
      <c r="H68" t="s">
        <v>16</v>
      </c>
      <c r="I68" s="3">
        <v>1620</v>
      </c>
      <c r="J68" s="3">
        <v>324.00799999999998</v>
      </c>
      <c r="K68" t="s">
        <v>24</v>
      </c>
    </row>
    <row r="69" spans="1:11" x14ac:dyDescent="0.35">
      <c r="A69" t="s">
        <v>238</v>
      </c>
      <c r="B69" t="s">
        <v>239</v>
      </c>
      <c r="C69" t="str">
        <f t="shared" si="6"/>
        <v>Friday-10-2023</v>
      </c>
      <c r="D69" t="s">
        <v>240</v>
      </c>
      <c r="E69" t="s">
        <v>45</v>
      </c>
      <c r="F69" t="s">
        <v>62</v>
      </c>
      <c r="G69" t="s">
        <v>30</v>
      </c>
      <c r="H69" t="s">
        <v>41</v>
      </c>
      <c r="I69" s="3">
        <v>4113</v>
      </c>
      <c r="J69" s="3">
        <v>411.36</v>
      </c>
      <c r="K69" t="s">
        <v>24</v>
      </c>
    </row>
    <row r="70" spans="1:11" x14ac:dyDescent="0.35">
      <c r="A70" t="s">
        <v>241</v>
      </c>
      <c r="B70" t="s">
        <v>242</v>
      </c>
      <c r="C70" t="str">
        <f t="shared" si="6"/>
        <v>Tuesday-07-2024</v>
      </c>
      <c r="D70" t="s">
        <v>243</v>
      </c>
      <c r="E70" t="s">
        <v>13</v>
      </c>
      <c r="F70" t="s">
        <v>62</v>
      </c>
      <c r="G70" t="s">
        <v>30</v>
      </c>
      <c r="H70" t="s">
        <v>31</v>
      </c>
      <c r="I70" s="3">
        <v>379</v>
      </c>
      <c r="J70" s="3">
        <v>18.971</v>
      </c>
      <c r="K70" t="s">
        <v>37</v>
      </c>
    </row>
    <row r="71" spans="1:11" x14ac:dyDescent="0.35">
      <c r="A71" t="s">
        <v>244</v>
      </c>
      <c r="B71" t="s">
        <v>245</v>
      </c>
      <c r="C71" t="str">
        <f t="shared" si="6"/>
        <v xml:space="preserve"> 28 October 2023 16:56</v>
      </c>
      <c r="D71" t="s">
        <v>246</v>
      </c>
      <c r="E71" t="s">
        <v>21</v>
      </c>
      <c r="F71" t="s">
        <v>29</v>
      </c>
      <c r="G71" t="s">
        <v>23</v>
      </c>
      <c r="H71" t="s">
        <v>16</v>
      </c>
      <c r="I71" s="3">
        <v>263</v>
      </c>
      <c r="J71" s="3">
        <v>52.653999999999996</v>
      </c>
      <c r="K71" t="s">
        <v>17</v>
      </c>
    </row>
    <row r="72" spans="1:11" x14ac:dyDescent="0.35">
      <c r="A72" t="s">
        <v>247</v>
      </c>
      <c r="B72" t="s">
        <v>248</v>
      </c>
      <c r="C72" t="str">
        <f t="shared" si="6"/>
        <v>Tuesday-08-2023</v>
      </c>
      <c r="D72" t="s">
        <v>249</v>
      </c>
      <c r="E72" t="s">
        <v>103</v>
      </c>
      <c r="F72" t="s">
        <v>22</v>
      </c>
      <c r="G72" t="s">
        <v>23</v>
      </c>
      <c r="H72" t="s">
        <v>31</v>
      </c>
      <c r="I72" s="3">
        <v>3873</v>
      </c>
      <c r="J72" s="3">
        <v>193.65600000000001</v>
      </c>
      <c r="K72" t="s">
        <v>24</v>
      </c>
    </row>
    <row r="73" spans="1:11" x14ac:dyDescent="0.35">
      <c r="A73" t="s">
        <v>250</v>
      </c>
      <c r="B73" t="s">
        <v>251</v>
      </c>
      <c r="C73" t="str">
        <f t="shared" si="6"/>
        <v>Sunday-08-2024</v>
      </c>
      <c r="D73" t="s">
        <v>252</v>
      </c>
      <c r="E73" t="s">
        <v>253</v>
      </c>
      <c r="F73" t="s">
        <v>22</v>
      </c>
      <c r="G73" t="s">
        <v>15</v>
      </c>
      <c r="H73" t="s">
        <v>16</v>
      </c>
      <c r="I73" s="3">
        <v>2268</v>
      </c>
      <c r="J73" s="3">
        <v>151.26599999999999</v>
      </c>
      <c r="K73" t="s">
        <v>17</v>
      </c>
    </row>
    <row r="74" spans="1:11" x14ac:dyDescent="0.35">
      <c r="A74" t="s">
        <v>254</v>
      </c>
      <c r="B74" t="s">
        <v>255</v>
      </c>
      <c r="C74" t="str">
        <f t="shared" si="6"/>
        <v>Saturday-06-2024</v>
      </c>
      <c r="D74" t="s">
        <v>256</v>
      </c>
      <c r="E74" t="s">
        <v>112</v>
      </c>
      <c r="F74" t="s">
        <v>36</v>
      </c>
      <c r="G74" t="s">
        <v>23</v>
      </c>
      <c r="H74" t="s">
        <v>31</v>
      </c>
      <c r="I74" s="3">
        <v>2544</v>
      </c>
      <c r="J74" s="3">
        <v>254.49</v>
      </c>
      <c r="K74" t="s">
        <v>37</v>
      </c>
    </row>
    <row r="75" spans="1:11" x14ac:dyDescent="0.35">
      <c r="A75" t="s">
        <v>257</v>
      </c>
      <c r="B75" t="s">
        <v>258</v>
      </c>
      <c r="C75" t="str">
        <f t="shared" si="6"/>
        <v>Tuesday-05-2025</v>
      </c>
      <c r="D75" t="s">
        <v>259</v>
      </c>
      <c r="E75" t="s">
        <v>112</v>
      </c>
      <c r="F75" t="s">
        <v>36</v>
      </c>
      <c r="G75" t="s">
        <v>15</v>
      </c>
      <c r="H75" t="s">
        <v>16</v>
      </c>
      <c r="I75" s="3">
        <v>4952</v>
      </c>
      <c r="J75" s="3">
        <v>330.17666666666662</v>
      </c>
      <c r="K75" t="s">
        <v>37</v>
      </c>
    </row>
    <row r="76" spans="1:11" x14ac:dyDescent="0.35">
      <c r="A76" t="s">
        <v>260</v>
      </c>
      <c r="B76" t="s">
        <v>261</v>
      </c>
      <c r="C76" t="str">
        <f t="shared" si="6"/>
        <v>01-26-2023</v>
      </c>
      <c r="D76" t="s">
        <v>262</v>
      </c>
      <c r="E76" t="s">
        <v>112</v>
      </c>
      <c r="F76" t="s">
        <v>14</v>
      </c>
      <c r="G76" t="s">
        <v>30</v>
      </c>
      <c r="H76" t="s">
        <v>31</v>
      </c>
      <c r="I76" s="3">
        <v>1967</v>
      </c>
      <c r="J76" s="3">
        <v>393.464</v>
      </c>
      <c r="K76" t="s">
        <v>37</v>
      </c>
    </row>
    <row r="77" spans="1:11" x14ac:dyDescent="0.35">
      <c r="A77" t="s">
        <v>263</v>
      </c>
      <c r="B77" t="s">
        <v>264</v>
      </c>
      <c r="C77" t="str">
        <f t="shared" si="6"/>
        <v>Thursday-06-2023</v>
      </c>
      <c r="D77" t="s">
        <v>265</v>
      </c>
      <c r="E77" t="s">
        <v>49</v>
      </c>
      <c r="F77" t="s">
        <v>66</v>
      </c>
      <c r="G77" t="s">
        <v>23</v>
      </c>
      <c r="H77" t="s">
        <v>16</v>
      </c>
      <c r="I77" s="3">
        <v>2689</v>
      </c>
      <c r="J77" s="3">
        <v>134.45250000000001</v>
      </c>
      <c r="K77" t="s">
        <v>17</v>
      </c>
    </row>
    <row r="78" spans="1:11" x14ac:dyDescent="0.35">
      <c r="A78" t="s">
        <v>266</v>
      </c>
      <c r="B78" t="s">
        <v>267</v>
      </c>
      <c r="C78" t="str">
        <f t="shared" si="6"/>
        <v>Tuesday-08-2023</v>
      </c>
      <c r="D78" t="s">
        <v>268</v>
      </c>
      <c r="E78" t="s">
        <v>269</v>
      </c>
      <c r="F78" t="s">
        <v>22</v>
      </c>
      <c r="G78" t="s">
        <v>23</v>
      </c>
      <c r="H78" t="s">
        <v>16</v>
      </c>
      <c r="I78" s="3">
        <v>2851</v>
      </c>
      <c r="J78" s="3">
        <v>570.21199999999999</v>
      </c>
      <c r="K78" t="s">
        <v>17</v>
      </c>
    </row>
    <row r="79" spans="1:11" x14ac:dyDescent="0.35">
      <c r="A79" t="s">
        <v>270</v>
      </c>
      <c r="C79" t="str">
        <f t="shared" si="6"/>
        <v>Saturday-01-1900</v>
      </c>
      <c r="D79" t="s">
        <v>271</v>
      </c>
      <c r="E79" t="s">
        <v>35</v>
      </c>
      <c r="F79" t="s">
        <v>62</v>
      </c>
      <c r="G79" t="s">
        <v>30</v>
      </c>
      <c r="H79" t="s">
        <v>16</v>
      </c>
      <c r="I79" s="3">
        <v>2382</v>
      </c>
      <c r="J79" s="3">
        <v>238.29699999999997</v>
      </c>
      <c r="K79" t="s">
        <v>37</v>
      </c>
    </row>
    <row r="80" spans="1:11" x14ac:dyDescent="0.35">
      <c r="A80" t="s">
        <v>272</v>
      </c>
      <c r="B80" t="s">
        <v>273</v>
      </c>
      <c r="C80" t="str">
        <f t="shared" si="6"/>
        <v>Friday-04-2024</v>
      </c>
      <c r="D80" t="s">
        <v>274</v>
      </c>
      <c r="E80" t="s">
        <v>45</v>
      </c>
      <c r="F80" t="s">
        <v>22</v>
      </c>
      <c r="G80" t="s">
        <v>30</v>
      </c>
      <c r="H80" t="s">
        <v>31</v>
      </c>
      <c r="I80" s="3">
        <v>4050</v>
      </c>
      <c r="J80" s="3">
        <v>202.5035</v>
      </c>
      <c r="K80" t="s">
        <v>17</v>
      </c>
    </row>
    <row r="81" spans="1:11" x14ac:dyDescent="0.35">
      <c r="A81" t="s">
        <v>275</v>
      </c>
      <c r="B81" t="s">
        <v>276</v>
      </c>
      <c r="C81" t="str">
        <f t="shared" si="6"/>
        <v>Friday-01-2025</v>
      </c>
      <c r="E81" t="s">
        <v>112</v>
      </c>
      <c r="F81" t="s">
        <v>99</v>
      </c>
      <c r="G81" t="s">
        <v>15</v>
      </c>
      <c r="H81" t="s">
        <v>31</v>
      </c>
      <c r="I81" s="3">
        <v>4134</v>
      </c>
      <c r="J81" s="3">
        <v>275.62200000000001</v>
      </c>
      <c r="K81" t="s">
        <v>37</v>
      </c>
    </row>
    <row r="82" spans="1:11" x14ac:dyDescent="0.35">
      <c r="A82" t="s">
        <v>277</v>
      </c>
      <c r="B82" t="s">
        <v>278</v>
      </c>
      <c r="C82" t="str">
        <f t="shared" si="6"/>
        <v>Monday-06-2023</v>
      </c>
      <c r="D82" t="s">
        <v>279</v>
      </c>
      <c r="E82" t="s">
        <v>108</v>
      </c>
      <c r="F82" t="s">
        <v>99</v>
      </c>
      <c r="G82" t="s">
        <v>30</v>
      </c>
      <c r="H82" t="s">
        <v>41</v>
      </c>
      <c r="I82" s="3">
        <v>1200</v>
      </c>
      <c r="J82" s="3">
        <v>240.09200000000001</v>
      </c>
      <c r="K82" t="s">
        <v>37</v>
      </c>
    </row>
    <row r="83" spans="1:11" x14ac:dyDescent="0.35">
      <c r="A83" t="s">
        <v>280</v>
      </c>
      <c r="B83" t="s">
        <v>281</v>
      </c>
      <c r="C83" t="str">
        <f t="shared" si="6"/>
        <v>01-25-2025 16:45</v>
      </c>
      <c r="D83" t="s">
        <v>282</v>
      </c>
      <c r="E83" t="s">
        <v>49</v>
      </c>
      <c r="F83" t="s">
        <v>99</v>
      </c>
      <c r="G83" t="s">
        <v>15</v>
      </c>
      <c r="H83" t="s">
        <v>16</v>
      </c>
      <c r="I83" s="3">
        <v>1061</v>
      </c>
      <c r="J83" s="3">
        <v>53.057000000000002</v>
      </c>
      <c r="K83" t="s">
        <v>37</v>
      </c>
    </row>
    <row r="84" spans="1:11" x14ac:dyDescent="0.35">
      <c r="A84" t="s">
        <v>283</v>
      </c>
      <c r="B84" t="s">
        <v>284</v>
      </c>
      <c r="C84" t="str">
        <f t="shared" si="6"/>
        <v>Tuesday-12-2024</v>
      </c>
      <c r="D84" t="s">
        <v>285</v>
      </c>
      <c r="E84" t="s">
        <v>45</v>
      </c>
      <c r="F84" t="s">
        <v>36</v>
      </c>
      <c r="G84" t="s">
        <v>30</v>
      </c>
      <c r="H84" t="s">
        <v>31</v>
      </c>
      <c r="I84" s="3">
        <v>1396</v>
      </c>
      <c r="J84" s="3">
        <v>0</v>
      </c>
      <c r="K84" t="s">
        <v>37</v>
      </c>
    </row>
    <row r="85" spans="1:11" x14ac:dyDescent="0.35">
      <c r="A85" t="s">
        <v>286</v>
      </c>
      <c r="B85" t="s">
        <v>287</v>
      </c>
      <c r="C85" t="str">
        <f t="shared" si="6"/>
        <v>Sunday-10-2023</v>
      </c>
      <c r="D85" t="s">
        <v>288</v>
      </c>
      <c r="E85" t="s">
        <v>28</v>
      </c>
      <c r="F85" t="s">
        <v>86</v>
      </c>
      <c r="G85" t="s">
        <v>30</v>
      </c>
      <c r="H85" t="s">
        <v>31</v>
      </c>
      <c r="I85" s="3">
        <v>4898</v>
      </c>
      <c r="J85" s="3">
        <v>979.75</v>
      </c>
      <c r="K85" t="s">
        <v>17</v>
      </c>
    </row>
    <row r="86" spans="1:11" x14ac:dyDescent="0.35">
      <c r="A86" t="s">
        <v>289</v>
      </c>
      <c r="B86" t="s">
        <v>290</v>
      </c>
      <c r="C86" t="str">
        <f t="shared" si="6"/>
        <v xml:space="preserve"> 01-20-2023 </v>
      </c>
      <c r="E86" t="s">
        <v>13</v>
      </c>
      <c r="F86" t="s">
        <v>86</v>
      </c>
      <c r="G86" t="s">
        <v>23</v>
      </c>
      <c r="H86" t="s">
        <v>31</v>
      </c>
      <c r="I86" s="3">
        <v>1611</v>
      </c>
      <c r="J86" s="3">
        <v>161.16800000000001</v>
      </c>
      <c r="K86" t="s">
        <v>17</v>
      </c>
    </row>
    <row r="87" spans="1:11" x14ac:dyDescent="0.35">
      <c r="A87" t="s">
        <v>291</v>
      </c>
      <c r="B87" t="s">
        <v>292</v>
      </c>
      <c r="C87" t="str">
        <f t="shared" si="6"/>
        <v xml:space="preserve"> 01 October 2023 20:40</v>
      </c>
      <c r="D87" t="s">
        <v>293</v>
      </c>
      <c r="E87" t="s">
        <v>108</v>
      </c>
      <c r="F87" t="s">
        <v>22</v>
      </c>
      <c r="G87" t="s">
        <v>23</v>
      </c>
      <c r="H87" t="s">
        <v>16</v>
      </c>
      <c r="I87" s="3">
        <v>2208</v>
      </c>
      <c r="J87" s="3">
        <v>220.87199999999999</v>
      </c>
      <c r="K87" t="s">
        <v>24</v>
      </c>
    </row>
    <row r="88" spans="1:11" x14ac:dyDescent="0.35">
      <c r="A88" t="s">
        <v>294</v>
      </c>
      <c r="B88" t="s">
        <v>295</v>
      </c>
      <c r="C88" t="str">
        <f t="shared" si="6"/>
        <v>Tuesday-04-2023</v>
      </c>
      <c r="D88" t="s">
        <v>296</v>
      </c>
      <c r="E88" t="s">
        <v>28</v>
      </c>
      <c r="F88" t="s">
        <v>99</v>
      </c>
      <c r="G88" t="s">
        <v>23</v>
      </c>
      <c r="H88" t="s">
        <v>16</v>
      </c>
      <c r="I88" s="3">
        <v>2852</v>
      </c>
      <c r="J88" s="3">
        <v>285.25799999999998</v>
      </c>
      <c r="K88" t="s">
        <v>17</v>
      </c>
    </row>
    <row r="89" spans="1:11" x14ac:dyDescent="0.35">
      <c r="A89" t="s">
        <v>297</v>
      </c>
      <c r="B89" t="s">
        <v>298</v>
      </c>
      <c r="C89" t="str">
        <f t="shared" si="6"/>
        <v xml:space="preserve"> 08/05/2025</v>
      </c>
      <c r="D89" t="s">
        <v>299</v>
      </c>
      <c r="E89" t="s">
        <v>112</v>
      </c>
      <c r="F89" t="s">
        <v>36</v>
      </c>
      <c r="G89" t="s">
        <v>30</v>
      </c>
      <c r="H89" t="s">
        <v>41</v>
      </c>
      <c r="I89" s="3">
        <v>2613</v>
      </c>
      <c r="J89" s="3">
        <v>261.38099999999997</v>
      </c>
      <c r="K89" t="s">
        <v>17</v>
      </c>
    </row>
    <row r="90" spans="1:11" x14ac:dyDescent="0.35">
      <c r="A90" t="s">
        <v>300</v>
      </c>
      <c r="B90" t="s">
        <v>301</v>
      </c>
      <c r="C90" t="str">
        <f t="shared" si="6"/>
        <v>Monday-05-2025</v>
      </c>
      <c r="D90" t="s">
        <v>302</v>
      </c>
      <c r="E90" t="s">
        <v>35</v>
      </c>
      <c r="F90" t="s">
        <v>36</v>
      </c>
      <c r="G90" t="s">
        <v>23</v>
      </c>
      <c r="H90" t="s">
        <v>16</v>
      </c>
      <c r="I90" s="3">
        <v>2730</v>
      </c>
      <c r="J90" s="3">
        <v>273.04000000000002</v>
      </c>
      <c r="K90" t="s">
        <v>37</v>
      </c>
    </row>
    <row r="91" spans="1:11" x14ac:dyDescent="0.35">
      <c r="A91" t="s">
        <v>303</v>
      </c>
      <c r="B91" t="s">
        <v>304</v>
      </c>
      <c r="C91" t="str">
        <f t="shared" si="6"/>
        <v xml:space="preserve"> 2023-08-22 00:14</v>
      </c>
      <c r="D91" t="s">
        <v>305</v>
      </c>
      <c r="E91" t="s">
        <v>13</v>
      </c>
      <c r="F91" t="s">
        <v>22</v>
      </c>
      <c r="G91" t="s">
        <v>15</v>
      </c>
      <c r="H91" t="s">
        <v>41</v>
      </c>
      <c r="I91" s="3">
        <v>624</v>
      </c>
      <c r="J91" s="3">
        <v>0</v>
      </c>
      <c r="K91" t="s">
        <v>17</v>
      </c>
    </row>
    <row r="92" spans="1:11" x14ac:dyDescent="0.35">
      <c r="A92" t="s">
        <v>306</v>
      </c>
      <c r="B92" t="s">
        <v>307</v>
      </c>
      <c r="C92" t="str">
        <f t="shared" si="6"/>
        <v>Thursday-06-2024</v>
      </c>
      <c r="D92" t="s">
        <v>308</v>
      </c>
      <c r="E92" t="s">
        <v>108</v>
      </c>
      <c r="F92" t="s">
        <v>14</v>
      </c>
      <c r="G92" t="s">
        <v>23</v>
      </c>
      <c r="H92" t="s">
        <v>16</v>
      </c>
      <c r="I92" s="3">
        <v>966</v>
      </c>
      <c r="J92" s="3">
        <v>193.214</v>
      </c>
      <c r="K92" t="s">
        <v>24</v>
      </c>
    </row>
    <row r="93" spans="1:11" x14ac:dyDescent="0.35">
      <c r="A93" t="s">
        <v>309</v>
      </c>
      <c r="B93" t="s">
        <v>310</v>
      </c>
      <c r="C93" t="str">
        <f t="shared" si="6"/>
        <v>Sunday-09-2024</v>
      </c>
      <c r="D93" t="s">
        <v>311</v>
      </c>
      <c r="E93" t="s">
        <v>103</v>
      </c>
      <c r="F93" t="s">
        <v>86</v>
      </c>
      <c r="G93" t="s">
        <v>30</v>
      </c>
      <c r="H93" t="s">
        <v>41</v>
      </c>
      <c r="I93" s="3">
        <v>2468</v>
      </c>
      <c r="J93" s="3">
        <v>246.88400000000001</v>
      </c>
      <c r="K93" t="s">
        <v>17</v>
      </c>
    </row>
    <row r="94" spans="1:11" x14ac:dyDescent="0.35">
      <c r="A94" t="s">
        <v>312</v>
      </c>
      <c r="B94" t="s">
        <v>313</v>
      </c>
      <c r="C94" t="str">
        <f t="shared" si="6"/>
        <v>Sunday-06-2023</v>
      </c>
      <c r="D94" t="s">
        <v>314</v>
      </c>
      <c r="E94" t="s">
        <v>108</v>
      </c>
      <c r="F94" t="s">
        <v>36</v>
      </c>
      <c r="G94" t="s">
        <v>23</v>
      </c>
      <c r="H94" t="s">
        <v>16</v>
      </c>
      <c r="I94" s="3">
        <v>1654</v>
      </c>
      <c r="J94" s="3">
        <v>330.88</v>
      </c>
      <c r="K94" t="s">
        <v>17</v>
      </c>
    </row>
    <row r="95" spans="1:11" x14ac:dyDescent="0.35">
      <c r="A95" t="s">
        <v>315</v>
      </c>
      <c r="B95" t="s">
        <v>316</v>
      </c>
      <c r="C95" t="str">
        <f t="shared" si="6"/>
        <v>Friday-11-2024</v>
      </c>
      <c r="D95" t="s">
        <v>317</v>
      </c>
      <c r="E95" t="s">
        <v>53</v>
      </c>
      <c r="F95" t="s">
        <v>29</v>
      </c>
      <c r="G95" t="s">
        <v>15</v>
      </c>
      <c r="H95" t="s">
        <v>31</v>
      </c>
      <c r="I95" s="3">
        <v>4782</v>
      </c>
      <c r="J95" s="3">
        <v>478.24700000000001</v>
      </c>
      <c r="K95" t="s">
        <v>24</v>
      </c>
    </row>
    <row r="96" spans="1:11" x14ac:dyDescent="0.35">
      <c r="A96" t="s">
        <v>318</v>
      </c>
      <c r="B96" t="s">
        <v>319</v>
      </c>
      <c r="C96" t="str">
        <f t="shared" si="6"/>
        <v>Friday-12-2023</v>
      </c>
      <c r="D96" t="s">
        <v>320</v>
      </c>
      <c r="E96" t="s">
        <v>28</v>
      </c>
      <c r="F96" t="s">
        <v>36</v>
      </c>
      <c r="G96" t="s">
        <v>30</v>
      </c>
      <c r="H96" t="s">
        <v>31</v>
      </c>
      <c r="I96" s="3">
        <v>92</v>
      </c>
      <c r="J96" s="3">
        <v>9.2940000000000005</v>
      </c>
      <c r="K96" t="s">
        <v>17</v>
      </c>
    </row>
    <row r="97" spans="1:11" x14ac:dyDescent="0.35">
      <c r="A97" t="s">
        <v>321</v>
      </c>
      <c r="B97" t="s">
        <v>322</v>
      </c>
      <c r="C97" t="str">
        <f t="shared" si="6"/>
        <v>Sunday-09-2024</v>
      </c>
      <c r="D97" t="s">
        <v>323</v>
      </c>
      <c r="E97" t="s">
        <v>13</v>
      </c>
      <c r="F97" t="s">
        <v>29</v>
      </c>
      <c r="G97" t="s">
        <v>23</v>
      </c>
      <c r="H97" t="s">
        <v>16</v>
      </c>
      <c r="I97" s="3">
        <v>4784</v>
      </c>
      <c r="J97" s="3">
        <v>956.91800000000001</v>
      </c>
      <c r="K97" t="s">
        <v>37</v>
      </c>
    </row>
    <row r="98" spans="1:11" x14ac:dyDescent="0.35">
      <c r="A98" t="s">
        <v>324</v>
      </c>
      <c r="B98" t="s">
        <v>325</v>
      </c>
      <c r="C98" t="str">
        <f t="shared" si="6"/>
        <v>03-31-2024</v>
      </c>
      <c r="D98" t="s">
        <v>326</v>
      </c>
      <c r="E98" t="s">
        <v>13</v>
      </c>
      <c r="F98" t="s">
        <v>22</v>
      </c>
      <c r="G98" t="s">
        <v>15</v>
      </c>
      <c r="H98" t="s">
        <v>16</v>
      </c>
      <c r="I98" s="3">
        <v>2812</v>
      </c>
      <c r="J98" s="3">
        <v>562.54</v>
      </c>
      <c r="K98" t="s">
        <v>24</v>
      </c>
    </row>
    <row r="99" spans="1:11" x14ac:dyDescent="0.35">
      <c r="A99" t="s">
        <v>327</v>
      </c>
      <c r="B99" t="s">
        <v>328</v>
      </c>
      <c r="C99" t="str">
        <f t="shared" si="6"/>
        <v>Wednesday-11-2023</v>
      </c>
      <c r="D99" t="s">
        <v>329</v>
      </c>
      <c r="E99" t="s">
        <v>61</v>
      </c>
      <c r="F99" t="s">
        <v>86</v>
      </c>
      <c r="G99" t="s">
        <v>23</v>
      </c>
      <c r="H99" t="s">
        <v>41</v>
      </c>
      <c r="I99" s="3">
        <v>3062</v>
      </c>
      <c r="J99" s="3">
        <v>153.10750000000002</v>
      </c>
      <c r="K99" t="s">
        <v>37</v>
      </c>
    </row>
    <row r="100" spans="1:11" x14ac:dyDescent="0.35">
      <c r="A100" t="s">
        <v>330</v>
      </c>
      <c r="B100" t="s">
        <v>331</v>
      </c>
      <c r="C100" t="str">
        <f t="shared" si="6"/>
        <v>03-14-2024 04:20</v>
      </c>
      <c r="D100" t="s">
        <v>332</v>
      </c>
      <c r="E100" t="s">
        <v>13</v>
      </c>
      <c r="F100" t="s">
        <v>14</v>
      </c>
      <c r="G100" t="s">
        <v>30</v>
      </c>
      <c r="H100" t="s">
        <v>41</v>
      </c>
      <c r="I100" s="3">
        <v>1019</v>
      </c>
      <c r="J100" s="3">
        <v>203.934</v>
      </c>
      <c r="K100" t="s">
        <v>17</v>
      </c>
    </row>
    <row r="101" spans="1:11" x14ac:dyDescent="0.35">
      <c r="A101" t="s">
        <v>333</v>
      </c>
      <c r="B101" t="s">
        <v>334</v>
      </c>
      <c r="C101" t="str">
        <f t="shared" si="6"/>
        <v>Tuesday-07-2023</v>
      </c>
      <c r="D101" t="s">
        <v>335</v>
      </c>
      <c r="E101" t="s">
        <v>112</v>
      </c>
      <c r="F101" t="s">
        <v>29</v>
      </c>
      <c r="G101" t="s">
        <v>23</v>
      </c>
      <c r="H101" t="s">
        <v>41</v>
      </c>
      <c r="I101" s="3">
        <v>4482</v>
      </c>
      <c r="J101" s="3">
        <v>448.23</v>
      </c>
      <c r="K101" t="s">
        <v>17</v>
      </c>
    </row>
    <row r="102" spans="1:11" x14ac:dyDescent="0.35">
      <c r="A102" t="s">
        <v>336</v>
      </c>
      <c r="C102" t="str">
        <f t="shared" si="6"/>
        <v>Saturday-01-1900</v>
      </c>
      <c r="D102" t="s">
        <v>337</v>
      </c>
      <c r="E102" t="s">
        <v>13</v>
      </c>
      <c r="F102" t="s">
        <v>22</v>
      </c>
      <c r="G102" t="s">
        <v>30</v>
      </c>
      <c r="H102" t="s">
        <v>41</v>
      </c>
      <c r="I102" s="3">
        <v>2128</v>
      </c>
      <c r="J102" s="3">
        <v>425.78999999999996</v>
      </c>
      <c r="K102" t="s">
        <v>17</v>
      </c>
    </row>
    <row r="103" spans="1:11" x14ac:dyDescent="0.35">
      <c r="A103" t="s">
        <v>338</v>
      </c>
      <c r="B103" t="s">
        <v>339</v>
      </c>
      <c r="C103" t="str">
        <f t="shared" si="6"/>
        <v>Tuesday-12-2024</v>
      </c>
      <c r="D103" t="s">
        <v>340</v>
      </c>
      <c r="E103" t="s">
        <v>108</v>
      </c>
      <c r="F103" t="s">
        <v>57</v>
      </c>
      <c r="G103" t="s">
        <v>30</v>
      </c>
      <c r="H103" t="s">
        <v>31</v>
      </c>
      <c r="I103" s="3">
        <v>1128</v>
      </c>
      <c r="J103" s="3">
        <v>225.756</v>
      </c>
      <c r="K103" t="s">
        <v>17</v>
      </c>
    </row>
    <row r="104" spans="1:11" x14ac:dyDescent="0.35">
      <c r="A104" t="s">
        <v>341</v>
      </c>
      <c r="B104" t="s">
        <v>342</v>
      </c>
      <c r="C104" t="str">
        <f t="shared" si="6"/>
        <v>Saturday-06-2023</v>
      </c>
      <c r="D104" t="s">
        <v>343</v>
      </c>
      <c r="E104" t="s">
        <v>108</v>
      </c>
      <c r="F104" t="s">
        <v>29</v>
      </c>
      <c r="G104" t="s">
        <v>30</v>
      </c>
      <c r="H104" t="s">
        <v>31</v>
      </c>
      <c r="I104" s="3">
        <v>2313</v>
      </c>
      <c r="J104" s="3">
        <v>115.65299999999999</v>
      </c>
      <c r="K104" t="s">
        <v>37</v>
      </c>
    </row>
    <row r="105" spans="1:11" x14ac:dyDescent="0.35">
      <c r="A105" t="s">
        <v>344</v>
      </c>
      <c r="B105" t="s">
        <v>345</v>
      </c>
      <c r="C105" t="str">
        <f t="shared" si="6"/>
        <v>Tuesday-12-2023</v>
      </c>
      <c r="E105" t="s">
        <v>49</v>
      </c>
      <c r="F105" t="s">
        <v>86</v>
      </c>
      <c r="G105" t="s">
        <v>23</v>
      </c>
      <c r="H105" t="s">
        <v>16</v>
      </c>
      <c r="I105" s="3">
        <v>3807</v>
      </c>
      <c r="J105" s="3">
        <v>761.54600000000005</v>
      </c>
      <c r="K105" t="s">
        <v>17</v>
      </c>
    </row>
    <row r="106" spans="1:11" x14ac:dyDescent="0.35">
      <c r="A106" t="s">
        <v>346</v>
      </c>
      <c r="B106" t="s">
        <v>347</v>
      </c>
      <c r="C106" t="str">
        <f t="shared" si="6"/>
        <v>Sunday-01-2025</v>
      </c>
      <c r="D106" t="s">
        <v>348</v>
      </c>
      <c r="E106" t="s">
        <v>202</v>
      </c>
      <c r="F106" t="s">
        <v>29</v>
      </c>
      <c r="G106" t="s">
        <v>23</v>
      </c>
      <c r="H106" t="s">
        <v>31</v>
      </c>
      <c r="I106" s="3">
        <v>2175</v>
      </c>
      <c r="J106" s="3">
        <v>145.05533333333332</v>
      </c>
      <c r="K106" t="s">
        <v>24</v>
      </c>
    </row>
    <row r="107" spans="1:11" x14ac:dyDescent="0.35">
      <c r="A107" t="s">
        <v>349</v>
      </c>
      <c r="B107" t="s">
        <v>350</v>
      </c>
      <c r="C107" t="str">
        <f t="shared" si="6"/>
        <v>Sunday-02-2024</v>
      </c>
      <c r="D107" t="s">
        <v>351</v>
      </c>
      <c r="E107" t="s">
        <v>28</v>
      </c>
      <c r="F107" t="s">
        <v>22</v>
      </c>
      <c r="G107" t="s">
        <v>15</v>
      </c>
      <c r="H107" t="s">
        <v>16</v>
      </c>
      <c r="I107" s="3">
        <v>770</v>
      </c>
      <c r="J107" s="3">
        <v>77.048000000000002</v>
      </c>
      <c r="K107" t="s">
        <v>24</v>
      </c>
    </row>
    <row r="108" spans="1:11" x14ac:dyDescent="0.35">
      <c r="A108" t="s">
        <v>352</v>
      </c>
      <c r="B108" t="s">
        <v>353</v>
      </c>
      <c r="C108" t="str">
        <f t="shared" si="6"/>
        <v>Friday-03-2023</v>
      </c>
      <c r="D108" t="s">
        <v>354</v>
      </c>
      <c r="E108" t="s">
        <v>13</v>
      </c>
      <c r="F108" t="s">
        <v>66</v>
      </c>
      <c r="G108" t="s">
        <v>15</v>
      </c>
      <c r="H108" t="s">
        <v>31</v>
      </c>
      <c r="I108" s="3">
        <v>3076</v>
      </c>
      <c r="J108" s="3">
        <v>205.11599999999999</v>
      </c>
      <c r="K108" t="s">
        <v>17</v>
      </c>
    </row>
    <row r="109" spans="1:11" x14ac:dyDescent="0.35">
      <c r="A109" t="s">
        <v>355</v>
      </c>
      <c r="C109" t="str">
        <f t="shared" si="6"/>
        <v>Saturday-01-1900</v>
      </c>
      <c r="D109" t="s">
        <v>356</v>
      </c>
      <c r="E109" t="s">
        <v>28</v>
      </c>
      <c r="F109" t="s">
        <v>29</v>
      </c>
      <c r="G109" t="s">
        <v>15</v>
      </c>
      <c r="H109" t="s">
        <v>16</v>
      </c>
      <c r="I109" s="3">
        <v>2149</v>
      </c>
      <c r="J109" s="3">
        <v>0</v>
      </c>
      <c r="K109" t="s">
        <v>24</v>
      </c>
    </row>
    <row r="110" spans="1:11" x14ac:dyDescent="0.35">
      <c r="A110" t="s">
        <v>357</v>
      </c>
      <c r="B110" t="s">
        <v>358</v>
      </c>
      <c r="C110" t="str">
        <f t="shared" si="6"/>
        <v xml:space="preserve"> 07-13-2023 13:49</v>
      </c>
      <c r="D110" t="s">
        <v>359</v>
      </c>
      <c r="E110" t="s">
        <v>49</v>
      </c>
      <c r="F110" t="s">
        <v>99</v>
      </c>
      <c r="G110" t="s">
        <v>23</v>
      </c>
      <c r="H110" t="s">
        <v>41</v>
      </c>
      <c r="I110" s="3">
        <v>4311</v>
      </c>
      <c r="J110" s="3">
        <v>431.17399999999998</v>
      </c>
      <c r="K110" t="s">
        <v>37</v>
      </c>
    </row>
    <row r="111" spans="1:11" x14ac:dyDescent="0.35">
      <c r="A111" t="s">
        <v>360</v>
      </c>
      <c r="B111" t="s">
        <v>361</v>
      </c>
      <c r="C111" t="str">
        <f t="shared" si="6"/>
        <v>Saturday-09-2023</v>
      </c>
      <c r="D111" t="s">
        <v>362</v>
      </c>
      <c r="E111" t="s">
        <v>103</v>
      </c>
      <c r="F111" t="s">
        <v>22</v>
      </c>
      <c r="G111" t="s">
        <v>15</v>
      </c>
      <c r="H111" t="s">
        <v>41</v>
      </c>
      <c r="I111" s="3">
        <v>3809</v>
      </c>
      <c r="J111" s="3">
        <v>253.99533333333332</v>
      </c>
      <c r="K111" t="s">
        <v>37</v>
      </c>
    </row>
    <row r="112" spans="1:11" x14ac:dyDescent="0.35">
      <c r="A112" t="s">
        <v>363</v>
      </c>
      <c r="B112" t="s">
        <v>364</v>
      </c>
      <c r="C112" t="str">
        <f t="shared" si="6"/>
        <v>Friday-09-2023</v>
      </c>
      <c r="D112" t="s">
        <v>365</v>
      </c>
      <c r="E112" t="s">
        <v>35</v>
      </c>
      <c r="F112" t="s">
        <v>22</v>
      </c>
      <c r="G112" t="s">
        <v>30</v>
      </c>
      <c r="H112" t="s">
        <v>31</v>
      </c>
      <c r="I112" s="3">
        <v>2133</v>
      </c>
      <c r="J112" s="3">
        <v>213.32600000000002</v>
      </c>
      <c r="K112" t="s">
        <v>37</v>
      </c>
    </row>
    <row r="113" spans="1:11" x14ac:dyDescent="0.35">
      <c r="A113" t="s">
        <v>366</v>
      </c>
      <c r="B113" t="s">
        <v>367</v>
      </c>
      <c r="C113" t="str">
        <f t="shared" si="6"/>
        <v xml:space="preserve">04-26-2024 </v>
      </c>
      <c r="D113" t="s">
        <v>368</v>
      </c>
      <c r="E113" t="s">
        <v>28</v>
      </c>
      <c r="F113" t="s">
        <v>22</v>
      </c>
      <c r="G113" t="s">
        <v>23</v>
      </c>
      <c r="H113" t="s">
        <v>41</v>
      </c>
      <c r="I113" s="3">
        <v>3324</v>
      </c>
      <c r="J113" s="3">
        <v>332.42500000000001</v>
      </c>
      <c r="K113" t="s">
        <v>17</v>
      </c>
    </row>
    <row r="114" spans="1:11" x14ac:dyDescent="0.35">
      <c r="A114" t="s">
        <v>369</v>
      </c>
      <c r="B114" t="s">
        <v>370</v>
      </c>
      <c r="C114" t="str">
        <f t="shared" si="6"/>
        <v xml:space="preserve"> 21/12/2023</v>
      </c>
      <c r="D114" t="s">
        <v>371</v>
      </c>
      <c r="E114" t="s">
        <v>112</v>
      </c>
      <c r="F114" t="s">
        <v>86</v>
      </c>
      <c r="G114" t="s">
        <v>15</v>
      </c>
      <c r="H114" t="s">
        <v>16</v>
      </c>
      <c r="I114" s="3">
        <v>4237</v>
      </c>
      <c r="J114" s="3">
        <v>211.86750000000001</v>
      </c>
      <c r="K114" t="s">
        <v>37</v>
      </c>
    </row>
    <row r="115" spans="1:11" x14ac:dyDescent="0.35">
      <c r="A115" t="s">
        <v>372</v>
      </c>
      <c r="B115" t="s">
        <v>373</v>
      </c>
      <c r="C115" t="str">
        <f t="shared" si="6"/>
        <v>Saturday-07-2024</v>
      </c>
      <c r="D115" t="s">
        <v>374</v>
      </c>
      <c r="E115" t="s">
        <v>375</v>
      </c>
      <c r="F115" t="s">
        <v>22</v>
      </c>
      <c r="G115" t="s">
        <v>15</v>
      </c>
      <c r="H115" t="s">
        <v>16</v>
      </c>
      <c r="I115" s="3">
        <v>3952</v>
      </c>
      <c r="J115" s="3">
        <v>0</v>
      </c>
      <c r="K115" t="s">
        <v>17</v>
      </c>
    </row>
    <row r="116" spans="1:11" x14ac:dyDescent="0.35">
      <c r="A116" t="s">
        <v>376</v>
      </c>
      <c r="B116" t="s">
        <v>377</v>
      </c>
      <c r="C116" t="str">
        <f t="shared" si="6"/>
        <v xml:space="preserve"> 18 February 2025</v>
      </c>
      <c r="D116" t="s">
        <v>378</v>
      </c>
      <c r="E116" t="s">
        <v>45</v>
      </c>
      <c r="F116" t="s">
        <v>36</v>
      </c>
      <c r="G116" t="s">
        <v>23</v>
      </c>
      <c r="H116" t="s">
        <v>16</v>
      </c>
      <c r="I116" s="3">
        <v>3709</v>
      </c>
      <c r="J116" s="3">
        <v>247.31133333333335</v>
      </c>
      <c r="K116" t="s">
        <v>17</v>
      </c>
    </row>
    <row r="117" spans="1:11" x14ac:dyDescent="0.35">
      <c r="A117" t="s">
        <v>379</v>
      </c>
      <c r="B117" t="s">
        <v>380</v>
      </c>
      <c r="C117" t="str">
        <f t="shared" si="6"/>
        <v>Friday-08-2024</v>
      </c>
      <c r="D117" t="s">
        <v>381</v>
      </c>
      <c r="E117" t="s">
        <v>202</v>
      </c>
      <c r="F117" t="s">
        <v>86</v>
      </c>
      <c r="G117" t="s">
        <v>15</v>
      </c>
      <c r="H117" t="s">
        <v>41</v>
      </c>
      <c r="I117" s="3">
        <v>3571</v>
      </c>
      <c r="J117" s="3">
        <v>0</v>
      </c>
      <c r="K117" t="s">
        <v>37</v>
      </c>
    </row>
    <row r="118" spans="1:11" x14ac:dyDescent="0.35">
      <c r="A118" t="s">
        <v>382</v>
      </c>
      <c r="B118" t="s">
        <v>383</v>
      </c>
      <c r="C118" t="str">
        <f t="shared" si="6"/>
        <v>Friday-09-2024</v>
      </c>
      <c r="D118" t="s">
        <v>384</v>
      </c>
      <c r="E118" t="s">
        <v>112</v>
      </c>
      <c r="F118" t="s">
        <v>14</v>
      </c>
      <c r="G118" t="s">
        <v>23</v>
      </c>
      <c r="H118" t="s">
        <v>41</v>
      </c>
      <c r="I118" s="3">
        <v>2365</v>
      </c>
      <c r="J118" s="3">
        <v>157.68933333333334</v>
      </c>
      <c r="K118" t="s">
        <v>17</v>
      </c>
    </row>
    <row r="119" spans="1:11" x14ac:dyDescent="0.35">
      <c r="A119" t="s">
        <v>385</v>
      </c>
      <c r="B119" t="s">
        <v>386</v>
      </c>
      <c r="C119" t="str">
        <f t="shared" si="6"/>
        <v>Monday-11-2024</v>
      </c>
      <c r="D119" t="s">
        <v>387</v>
      </c>
      <c r="E119" t="s">
        <v>103</v>
      </c>
      <c r="F119" t="s">
        <v>22</v>
      </c>
      <c r="G119" t="s">
        <v>23</v>
      </c>
      <c r="H119" t="s">
        <v>16</v>
      </c>
      <c r="I119" s="3">
        <v>4640</v>
      </c>
      <c r="J119" s="3">
        <v>309.37399999999997</v>
      </c>
      <c r="K119" t="s">
        <v>37</v>
      </c>
    </row>
    <row r="120" spans="1:11" x14ac:dyDescent="0.35">
      <c r="A120" t="s">
        <v>388</v>
      </c>
      <c r="B120" t="s">
        <v>389</v>
      </c>
      <c r="C120" t="str">
        <f t="shared" si="6"/>
        <v>Monday-06-2024</v>
      </c>
      <c r="D120" t="s">
        <v>390</v>
      </c>
      <c r="E120" t="s">
        <v>61</v>
      </c>
      <c r="F120" t="s">
        <v>14</v>
      </c>
      <c r="G120" t="s">
        <v>15</v>
      </c>
      <c r="H120" t="s">
        <v>16</v>
      </c>
      <c r="I120" s="3">
        <v>4461</v>
      </c>
      <c r="J120" s="3">
        <v>892.38400000000001</v>
      </c>
      <c r="K120" t="s">
        <v>17</v>
      </c>
    </row>
    <row r="121" spans="1:11" x14ac:dyDescent="0.35">
      <c r="A121" t="s">
        <v>391</v>
      </c>
      <c r="B121" t="s">
        <v>392</v>
      </c>
      <c r="C121" t="str">
        <f t="shared" si="6"/>
        <v xml:space="preserve"> 12/04/2023 10:16</v>
      </c>
      <c r="D121" t="s">
        <v>393</v>
      </c>
      <c r="E121" t="s">
        <v>103</v>
      </c>
      <c r="F121" t="s">
        <v>14</v>
      </c>
      <c r="G121" t="s">
        <v>23</v>
      </c>
      <c r="H121" t="s">
        <v>41</v>
      </c>
      <c r="I121" s="3">
        <v>3194</v>
      </c>
      <c r="J121" s="3">
        <v>0</v>
      </c>
      <c r="K121" t="s">
        <v>37</v>
      </c>
    </row>
    <row r="122" spans="1:11" x14ac:dyDescent="0.35">
      <c r="A122" t="s">
        <v>394</v>
      </c>
      <c r="B122" t="s">
        <v>395</v>
      </c>
      <c r="C122" t="str">
        <f t="shared" si="6"/>
        <v>Tuesday-08-2024</v>
      </c>
      <c r="D122" t="s">
        <v>396</v>
      </c>
      <c r="E122" t="s">
        <v>108</v>
      </c>
      <c r="F122" t="s">
        <v>29</v>
      </c>
      <c r="G122" t="s">
        <v>23</v>
      </c>
      <c r="H122" t="s">
        <v>41</v>
      </c>
      <c r="I122" s="3">
        <v>2598</v>
      </c>
      <c r="J122" s="3">
        <v>259.899</v>
      </c>
      <c r="K122" t="s">
        <v>24</v>
      </c>
    </row>
    <row r="123" spans="1:11" x14ac:dyDescent="0.35">
      <c r="A123" t="s">
        <v>397</v>
      </c>
      <c r="B123" t="s">
        <v>398</v>
      </c>
      <c r="C123" t="str">
        <f t="shared" si="6"/>
        <v>Wednesday-06-2024</v>
      </c>
      <c r="D123" t="s">
        <v>399</v>
      </c>
      <c r="E123" t="s">
        <v>79</v>
      </c>
      <c r="F123" t="s">
        <v>14</v>
      </c>
      <c r="G123" t="s">
        <v>15</v>
      </c>
      <c r="H123" t="s">
        <v>16</v>
      </c>
      <c r="I123" s="3">
        <v>1809</v>
      </c>
      <c r="J123" s="3">
        <v>361.89</v>
      </c>
      <c r="K123" t="s">
        <v>17</v>
      </c>
    </row>
    <row r="124" spans="1:11" x14ac:dyDescent="0.35">
      <c r="A124" t="s">
        <v>400</v>
      </c>
      <c r="B124" t="s">
        <v>401</v>
      </c>
      <c r="C124" t="str">
        <f t="shared" si="6"/>
        <v>Monday-06-2024</v>
      </c>
      <c r="D124" t="s">
        <v>402</v>
      </c>
      <c r="E124" t="s">
        <v>202</v>
      </c>
      <c r="F124" t="s">
        <v>14</v>
      </c>
      <c r="G124" t="s">
        <v>23</v>
      </c>
      <c r="H124" t="s">
        <v>16</v>
      </c>
      <c r="I124" s="3">
        <v>3869</v>
      </c>
      <c r="J124" s="3">
        <v>386.99699999999996</v>
      </c>
      <c r="K124" t="s">
        <v>37</v>
      </c>
    </row>
    <row r="125" spans="1:11" x14ac:dyDescent="0.35">
      <c r="A125" t="s">
        <v>403</v>
      </c>
      <c r="B125" t="s">
        <v>404</v>
      </c>
      <c r="C125" t="str">
        <f t="shared" si="6"/>
        <v>Saturday-12-2023</v>
      </c>
      <c r="D125" t="s">
        <v>405</v>
      </c>
      <c r="E125" t="s">
        <v>108</v>
      </c>
      <c r="F125" t="s">
        <v>57</v>
      </c>
      <c r="G125" t="s">
        <v>23</v>
      </c>
      <c r="H125" t="s">
        <v>16</v>
      </c>
      <c r="I125" s="3">
        <v>2292</v>
      </c>
      <c r="J125" s="3">
        <v>0</v>
      </c>
      <c r="K125" t="s">
        <v>24</v>
      </c>
    </row>
    <row r="126" spans="1:11" x14ac:dyDescent="0.35">
      <c r="A126" t="s">
        <v>406</v>
      </c>
      <c r="B126" t="s">
        <v>407</v>
      </c>
      <c r="C126" t="str">
        <f t="shared" si="6"/>
        <v>Saturday-11-2024</v>
      </c>
      <c r="D126" t="s">
        <v>408</v>
      </c>
      <c r="E126" t="s">
        <v>45</v>
      </c>
      <c r="F126" t="s">
        <v>29</v>
      </c>
      <c r="G126" t="s">
        <v>15</v>
      </c>
      <c r="H126" t="s">
        <v>31</v>
      </c>
      <c r="I126" s="3">
        <v>379</v>
      </c>
      <c r="J126" s="3">
        <v>75.938000000000002</v>
      </c>
      <c r="K126" t="s">
        <v>37</v>
      </c>
    </row>
    <row r="127" spans="1:11" x14ac:dyDescent="0.35">
      <c r="A127" t="s">
        <v>409</v>
      </c>
      <c r="B127" t="s">
        <v>410</v>
      </c>
      <c r="C127" t="str">
        <f t="shared" si="6"/>
        <v>Friday-03-2024</v>
      </c>
      <c r="D127" t="s">
        <v>411</v>
      </c>
      <c r="E127" t="s">
        <v>45</v>
      </c>
      <c r="F127" t="s">
        <v>36</v>
      </c>
      <c r="G127" t="s">
        <v>23</v>
      </c>
      <c r="H127" t="s">
        <v>31</v>
      </c>
      <c r="I127" s="3">
        <v>621</v>
      </c>
      <c r="J127" s="3">
        <v>0</v>
      </c>
      <c r="K127" t="s">
        <v>17</v>
      </c>
    </row>
    <row r="128" spans="1:11" x14ac:dyDescent="0.35">
      <c r="A128" t="s">
        <v>412</v>
      </c>
      <c r="B128" t="s">
        <v>413</v>
      </c>
      <c r="C128" t="str">
        <f t="shared" si="6"/>
        <v>Sunday-07-2023</v>
      </c>
      <c r="D128" t="s">
        <v>414</v>
      </c>
      <c r="E128" t="s">
        <v>61</v>
      </c>
      <c r="F128" t="s">
        <v>86</v>
      </c>
      <c r="G128" t="s">
        <v>15</v>
      </c>
      <c r="H128" t="s">
        <v>16</v>
      </c>
      <c r="I128" s="3">
        <v>188</v>
      </c>
      <c r="J128" s="3">
        <v>18.827999999999999</v>
      </c>
      <c r="K128" t="s">
        <v>24</v>
      </c>
    </row>
    <row r="129" spans="1:11" x14ac:dyDescent="0.35">
      <c r="A129" t="s">
        <v>415</v>
      </c>
      <c r="B129" t="s">
        <v>416</v>
      </c>
      <c r="C129" t="str">
        <f t="shared" si="6"/>
        <v>Sunday-10-2023</v>
      </c>
      <c r="D129" t="s">
        <v>417</v>
      </c>
      <c r="E129" t="s">
        <v>35</v>
      </c>
      <c r="F129" t="s">
        <v>57</v>
      </c>
      <c r="G129" t="s">
        <v>30</v>
      </c>
      <c r="H129" t="s">
        <v>16</v>
      </c>
      <c r="I129" s="3">
        <v>4777</v>
      </c>
      <c r="J129" s="3">
        <v>955.43</v>
      </c>
      <c r="K129" t="s">
        <v>37</v>
      </c>
    </row>
    <row r="130" spans="1:11" x14ac:dyDescent="0.35">
      <c r="A130" t="s">
        <v>418</v>
      </c>
      <c r="B130" t="s">
        <v>419</v>
      </c>
      <c r="C130" t="str">
        <f t="shared" si="6"/>
        <v>Thursday-10-2023</v>
      </c>
      <c r="D130" t="s">
        <v>420</v>
      </c>
      <c r="E130" t="s">
        <v>61</v>
      </c>
      <c r="F130" t="s">
        <v>14</v>
      </c>
      <c r="G130" t="s">
        <v>15</v>
      </c>
      <c r="H130" t="s">
        <v>31</v>
      </c>
      <c r="I130" s="3">
        <v>3680</v>
      </c>
      <c r="J130" s="3">
        <v>184.01249999999999</v>
      </c>
      <c r="K130" t="s">
        <v>24</v>
      </c>
    </row>
    <row r="131" spans="1:11" x14ac:dyDescent="0.35">
      <c r="A131" t="s">
        <v>421</v>
      </c>
      <c r="B131" t="s">
        <v>422</v>
      </c>
      <c r="C131" t="str">
        <f t="shared" ref="C131:C194" si="7">TEXT(B131,"dddd-mm-yyyy")</f>
        <v>Thursday-03-2025</v>
      </c>
      <c r="D131" t="s">
        <v>423</v>
      </c>
      <c r="E131" t="s">
        <v>253</v>
      </c>
      <c r="F131" t="s">
        <v>29</v>
      </c>
      <c r="G131" t="s">
        <v>15</v>
      </c>
      <c r="H131" t="s">
        <v>31</v>
      </c>
      <c r="I131" s="3">
        <v>3915</v>
      </c>
      <c r="J131" s="3">
        <v>261.05399999999997</v>
      </c>
      <c r="K131" t="s">
        <v>37</v>
      </c>
    </row>
    <row r="132" spans="1:11" x14ac:dyDescent="0.35">
      <c r="A132" t="s">
        <v>424</v>
      </c>
      <c r="B132" t="s">
        <v>425</v>
      </c>
      <c r="C132" t="str">
        <f t="shared" si="7"/>
        <v>Thursday-03-2023</v>
      </c>
      <c r="D132" t="s">
        <v>426</v>
      </c>
      <c r="E132" t="s">
        <v>49</v>
      </c>
      <c r="F132" t="s">
        <v>86</v>
      </c>
      <c r="G132" t="s">
        <v>30</v>
      </c>
      <c r="H132" t="s">
        <v>31</v>
      </c>
      <c r="I132" s="3">
        <v>4686</v>
      </c>
      <c r="J132" s="3">
        <v>468.60900000000004</v>
      </c>
      <c r="K132" t="s">
        <v>24</v>
      </c>
    </row>
    <row r="133" spans="1:11" x14ac:dyDescent="0.35">
      <c r="A133" t="s">
        <v>427</v>
      </c>
      <c r="B133" t="s">
        <v>428</v>
      </c>
      <c r="C133" t="str">
        <f t="shared" si="7"/>
        <v>Monday-10-2024</v>
      </c>
      <c r="D133" t="s">
        <v>429</v>
      </c>
      <c r="E133" t="s">
        <v>202</v>
      </c>
      <c r="F133" t="s">
        <v>22</v>
      </c>
      <c r="G133" t="s">
        <v>15</v>
      </c>
      <c r="H133" t="s">
        <v>16</v>
      </c>
      <c r="I133" s="3">
        <v>1484</v>
      </c>
      <c r="J133" s="3">
        <v>74.212500000000006</v>
      </c>
      <c r="K133" t="s">
        <v>24</v>
      </c>
    </row>
    <row r="134" spans="1:11" x14ac:dyDescent="0.35">
      <c r="A134" t="s">
        <v>430</v>
      </c>
      <c r="B134" t="s">
        <v>431</v>
      </c>
      <c r="C134" t="str">
        <f t="shared" si="7"/>
        <v>Friday-04-2024</v>
      </c>
      <c r="D134" t="s">
        <v>432</v>
      </c>
      <c r="E134" t="s">
        <v>45</v>
      </c>
      <c r="F134" t="s">
        <v>86</v>
      </c>
      <c r="G134" t="s">
        <v>15</v>
      </c>
      <c r="H134" t="s">
        <v>31</v>
      </c>
      <c r="I134" s="3">
        <v>4856</v>
      </c>
      <c r="J134" s="3">
        <v>0</v>
      </c>
      <c r="K134" t="s">
        <v>17</v>
      </c>
    </row>
    <row r="135" spans="1:11" x14ac:dyDescent="0.35">
      <c r="A135" t="s">
        <v>433</v>
      </c>
      <c r="B135" t="s">
        <v>434</v>
      </c>
      <c r="C135" t="str">
        <f t="shared" si="7"/>
        <v>Monday-12-2023</v>
      </c>
      <c r="D135" t="s">
        <v>435</v>
      </c>
      <c r="E135" t="s">
        <v>103</v>
      </c>
      <c r="F135" t="s">
        <v>14</v>
      </c>
      <c r="G135" t="s">
        <v>23</v>
      </c>
      <c r="H135" t="s">
        <v>31</v>
      </c>
      <c r="I135" s="3">
        <v>2142</v>
      </c>
      <c r="J135" s="3">
        <v>142.81199999999998</v>
      </c>
      <c r="K135" t="s">
        <v>24</v>
      </c>
    </row>
    <row r="136" spans="1:11" x14ac:dyDescent="0.35">
      <c r="A136" t="s">
        <v>436</v>
      </c>
      <c r="B136" t="s">
        <v>437</v>
      </c>
      <c r="C136" t="str">
        <f t="shared" si="7"/>
        <v>Monday-10-2024</v>
      </c>
      <c r="D136" t="s">
        <v>438</v>
      </c>
      <c r="E136" t="s">
        <v>112</v>
      </c>
      <c r="F136" t="s">
        <v>29</v>
      </c>
      <c r="G136" t="s">
        <v>30</v>
      </c>
      <c r="H136" t="s">
        <v>16</v>
      </c>
      <c r="I136" s="3">
        <v>689</v>
      </c>
      <c r="J136" s="3">
        <v>0</v>
      </c>
      <c r="K136" t="s">
        <v>17</v>
      </c>
    </row>
    <row r="137" spans="1:11" x14ac:dyDescent="0.35">
      <c r="A137" t="s">
        <v>439</v>
      </c>
      <c r="B137" t="s">
        <v>440</v>
      </c>
      <c r="C137" t="str">
        <f t="shared" si="7"/>
        <v>Sunday-10-2024</v>
      </c>
      <c r="D137" t="s">
        <v>441</v>
      </c>
      <c r="E137" t="s">
        <v>103</v>
      </c>
      <c r="F137" t="s">
        <v>86</v>
      </c>
      <c r="G137" t="s">
        <v>30</v>
      </c>
      <c r="H137" t="s">
        <v>16</v>
      </c>
      <c r="I137" s="3">
        <v>2452</v>
      </c>
      <c r="J137" s="3">
        <v>490.53399999999999</v>
      </c>
      <c r="K137" t="s">
        <v>17</v>
      </c>
    </row>
    <row r="138" spans="1:11" x14ac:dyDescent="0.35">
      <c r="A138" t="s">
        <v>442</v>
      </c>
      <c r="B138" t="s">
        <v>443</v>
      </c>
      <c r="C138" t="str">
        <f t="shared" si="7"/>
        <v>Friday-06-2025</v>
      </c>
      <c r="D138" t="s">
        <v>444</v>
      </c>
      <c r="E138" t="s">
        <v>108</v>
      </c>
      <c r="F138" t="s">
        <v>22</v>
      </c>
      <c r="G138" t="s">
        <v>15</v>
      </c>
      <c r="H138" t="s">
        <v>31</v>
      </c>
      <c r="I138" s="3">
        <v>970</v>
      </c>
      <c r="J138" s="3">
        <v>97.024000000000001</v>
      </c>
      <c r="K138" t="s">
        <v>17</v>
      </c>
    </row>
    <row r="139" spans="1:11" x14ac:dyDescent="0.35">
      <c r="A139" t="s">
        <v>445</v>
      </c>
      <c r="B139" t="s">
        <v>446</v>
      </c>
      <c r="C139" t="str">
        <f t="shared" si="7"/>
        <v>Tuesday-03-2024</v>
      </c>
      <c r="D139" t="s">
        <v>447</v>
      </c>
      <c r="E139" t="s">
        <v>103</v>
      </c>
      <c r="F139" t="s">
        <v>66</v>
      </c>
      <c r="G139" t="s">
        <v>30</v>
      </c>
      <c r="H139" t="s">
        <v>41</v>
      </c>
      <c r="I139" s="3">
        <v>3672</v>
      </c>
      <c r="J139" s="3">
        <v>734.44799999999998</v>
      </c>
      <c r="K139" t="s">
        <v>24</v>
      </c>
    </row>
    <row r="140" spans="1:11" x14ac:dyDescent="0.35">
      <c r="A140" t="s">
        <v>448</v>
      </c>
      <c r="B140" t="s">
        <v>449</v>
      </c>
      <c r="C140" t="str">
        <f t="shared" si="7"/>
        <v>Thursday-02-2025</v>
      </c>
      <c r="D140" t="s">
        <v>450</v>
      </c>
      <c r="E140" t="s">
        <v>13</v>
      </c>
      <c r="F140" t="s">
        <v>36</v>
      </c>
      <c r="G140" t="s">
        <v>30</v>
      </c>
      <c r="H140" t="s">
        <v>41</v>
      </c>
      <c r="I140" s="3">
        <v>4545</v>
      </c>
      <c r="J140" s="3">
        <v>227.26650000000001</v>
      </c>
      <c r="K140" t="s">
        <v>37</v>
      </c>
    </row>
    <row r="141" spans="1:11" x14ac:dyDescent="0.35">
      <c r="A141" t="s">
        <v>451</v>
      </c>
      <c r="B141" t="s">
        <v>452</v>
      </c>
      <c r="C141" t="str">
        <f t="shared" si="7"/>
        <v>Friday-04-2025</v>
      </c>
      <c r="D141" t="s">
        <v>453</v>
      </c>
      <c r="E141" t="s">
        <v>45</v>
      </c>
      <c r="F141" t="s">
        <v>29</v>
      </c>
      <c r="G141" t="s">
        <v>15</v>
      </c>
      <c r="H141" t="s">
        <v>16</v>
      </c>
      <c r="I141" s="3">
        <v>516</v>
      </c>
      <c r="J141" s="3">
        <v>0</v>
      </c>
      <c r="K141" t="s">
        <v>24</v>
      </c>
    </row>
    <row r="142" spans="1:11" x14ac:dyDescent="0.35">
      <c r="A142" t="s">
        <v>454</v>
      </c>
      <c r="B142" t="s">
        <v>455</v>
      </c>
      <c r="C142" t="str">
        <f t="shared" si="7"/>
        <v>Tuesday-05-2023</v>
      </c>
      <c r="D142" t="s">
        <v>456</v>
      </c>
      <c r="E142" t="s">
        <v>79</v>
      </c>
      <c r="F142" t="s">
        <v>29</v>
      </c>
      <c r="G142" t="s">
        <v>23</v>
      </c>
      <c r="H142" t="s">
        <v>31</v>
      </c>
      <c r="I142" s="3">
        <v>4139</v>
      </c>
      <c r="J142" s="3">
        <v>827.9559999999999</v>
      </c>
      <c r="K142" t="s">
        <v>17</v>
      </c>
    </row>
    <row r="143" spans="1:11" x14ac:dyDescent="0.35">
      <c r="A143" t="s">
        <v>457</v>
      </c>
      <c r="B143" t="s">
        <v>458</v>
      </c>
      <c r="C143" t="str">
        <f t="shared" si="7"/>
        <v>Monday-10-2024</v>
      </c>
      <c r="D143" t="s">
        <v>459</v>
      </c>
      <c r="E143" t="s">
        <v>13</v>
      </c>
      <c r="F143" t="s">
        <v>22</v>
      </c>
      <c r="G143" t="s">
        <v>23</v>
      </c>
      <c r="H143" t="s">
        <v>31</v>
      </c>
      <c r="I143" s="3">
        <v>1152</v>
      </c>
      <c r="J143" s="3">
        <v>76.818666666666658</v>
      </c>
      <c r="K143" t="s">
        <v>24</v>
      </c>
    </row>
    <row r="144" spans="1:11" x14ac:dyDescent="0.35">
      <c r="A144" t="s">
        <v>460</v>
      </c>
      <c r="B144" t="s">
        <v>461</v>
      </c>
      <c r="C144" t="str">
        <f t="shared" si="7"/>
        <v xml:space="preserve"> 02-Feb-2025</v>
      </c>
      <c r="D144" t="s">
        <v>462</v>
      </c>
      <c r="E144" t="s">
        <v>13</v>
      </c>
      <c r="F144" t="s">
        <v>29</v>
      </c>
      <c r="G144" t="s">
        <v>23</v>
      </c>
      <c r="H144" t="s">
        <v>41</v>
      </c>
      <c r="I144" s="3">
        <v>2072</v>
      </c>
      <c r="J144" s="3">
        <v>0</v>
      </c>
      <c r="K144" t="s">
        <v>37</v>
      </c>
    </row>
    <row r="145" spans="1:11" x14ac:dyDescent="0.35">
      <c r="A145" t="s">
        <v>463</v>
      </c>
      <c r="B145" t="s">
        <v>464</v>
      </c>
      <c r="C145" t="str">
        <f t="shared" si="7"/>
        <v>Friday-03-2023</v>
      </c>
      <c r="D145" t="s">
        <v>465</v>
      </c>
      <c r="E145" t="s">
        <v>375</v>
      </c>
      <c r="F145" t="s">
        <v>36</v>
      </c>
      <c r="G145" t="s">
        <v>15</v>
      </c>
      <c r="H145" t="s">
        <v>16</v>
      </c>
      <c r="I145" s="3">
        <v>822</v>
      </c>
      <c r="J145" s="3">
        <v>164.42400000000001</v>
      </c>
      <c r="K145" t="s">
        <v>24</v>
      </c>
    </row>
    <row r="146" spans="1:11" x14ac:dyDescent="0.35">
      <c r="A146" t="s">
        <v>466</v>
      </c>
      <c r="B146" t="s">
        <v>467</v>
      </c>
      <c r="C146" t="str">
        <f t="shared" si="7"/>
        <v>Sunday-08-2023</v>
      </c>
      <c r="D146" t="s">
        <v>468</v>
      </c>
      <c r="E146" t="s">
        <v>45</v>
      </c>
      <c r="F146" t="s">
        <v>29</v>
      </c>
      <c r="G146" t="s">
        <v>15</v>
      </c>
      <c r="H146" t="s">
        <v>41</v>
      </c>
      <c r="I146" s="3">
        <v>2373</v>
      </c>
      <c r="J146" s="3">
        <v>118.65450000000001</v>
      </c>
      <c r="K146" t="s">
        <v>17</v>
      </c>
    </row>
    <row r="147" spans="1:11" x14ac:dyDescent="0.35">
      <c r="A147" t="s">
        <v>469</v>
      </c>
      <c r="B147" t="s">
        <v>470</v>
      </c>
      <c r="C147" t="str">
        <f t="shared" si="7"/>
        <v>Wednesday-11-2023</v>
      </c>
      <c r="D147" t="s">
        <v>471</v>
      </c>
      <c r="E147" t="s">
        <v>28</v>
      </c>
      <c r="F147" t="s">
        <v>99</v>
      </c>
      <c r="G147" t="s">
        <v>30</v>
      </c>
      <c r="H147" t="s">
        <v>41</v>
      </c>
      <c r="I147" s="3">
        <v>3159</v>
      </c>
      <c r="J147" s="3">
        <v>157.98250000000002</v>
      </c>
      <c r="K147" t="s">
        <v>17</v>
      </c>
    </row>
    <row r="148" spans="1:11" x14ac:dyDescent="0.35">
      <c r="A148" t="s">
        <v>472</v>
      </c>
      <c r="B148" t="s">
        <v>473</v>
      </c>
      <c r="C148" t="str">
        <f t="shared" si="7"/>
        <v xml:space="preserve"> 07 January 2024 22:04</v>
      </c>
      <c r="D148" t="s">
        <v>474</v>
      </c>
      <c r="E148" t="s">
        <v>53</v>
      </c>
      <c r="F148" t="s">
        <v>29</v>
      </c>
      <c r="G148" t="s">
        <v>15</v>
      </c>
      <c r="H148" t="s">
        <v>41</v>
      </c>
      <c r="I148" s="3">
        <v>2868</v>
      </c>
      <c r="J148" s="3">
        <v>191.24200000000002</v>
      </c>
      <c r="K148" t="s">
        <v>24</v>
      </c>
    </row>
    <row r="149" spans="1:11" x14ac:dyDescent="0.35">
      <c r="A149" t="s">
        <v>475</v>
      </c>
      <c r="C149" t="str">
        <f t="shared" si="7"/>
        <v>Saturday-01-1900</v>
      </c>
      <c r="D149" t="s">
        <v>476</v>
      </c>
      <c r="E149" t="s">
        <v>35</v>
      </c>
      <c r="F149" t="s">
        <v>62</v>
      </c>
      <c r="G149" t="s">
        <v>30</v>
      </c>
      <c r="H149" t="s">
        <v>31</v>
      </c>
      <c r="I149" s="3">
        <v>912</v>
      </c>
      <c r="J149" s="3">
        <v>91.290999999999997</v>
      </c>
      <c r="K149" t="s">
        <v>24</v>
      </c>
    </row>
    <row r="150" spans="1:11" x14ac:dyDescent="0.35">
      <c r="A150" t="s">
        <v>477</v>
      </c>
      <c r="B150" t="s">
        <v>478</v>
      </c>
      <c r="C150" t="str">
        <f t="shared" si="7"/>
        <v>Saturday-02-2023</v>
      </c>
      <c r="D150" t="s">
        <v>479</v>
      </c>
      <c r="E150" t="s">
        <v>103</v>
      </c>
      <c r="F150" t="s">
        <v>86</v>
      </c>
      <c r="G150" t="s">
        <v>15</v>
      </c>
      <c r="H150" t="s">
        <v>16</v>
      </c>
      <c r="I150" s="3">
        <v>2766</v>
      </c>
      <c r="J150" s="3">
        <v>184.42266666666669</v>
      </c>
      <c r="K150" t="s">
        <v>37</v>
      </c>
    </row>
    <row r="151" spans="1:11" x14ac:dyDescent="0.35">
      <c r="A151" t="s">
        <v>480</v>
      </c>
      <c r="B151" t="s">
        <v>481</v>
      </c>
      <c r="C151" t="str">
        <f t="shared" si="7"/>
        <v>Tuesday-06-2024</v>
      </c>
      <c r="D151" t="s">
        <v>482</v>
      </c>
      <c r="E151" t="s">
        <v>45</v>
      </c>
      <c r="F151" t="s">
        <v>86</v>
      </c>
      <c r="G151" t="s">
        <v>30</v>
      </c>
      <c r="H151" t="s">
        <v>31</v>
      </c>
      <c r="I151" s="3">
        <v>1439</v>
      </c>
      <c r="J151" s="3">
        <v>0</v>
      </c>
      <c r="K151" t="s">
        <v>17</v>
      </c>
    </row>
    <row r="152" spans="1:11" x14ac:dyDescent="0.35">
      <c r="A152" t="s">
        <v>483</v>
      </c>
      <c r="B152" t="s">
        <v>484</v>
      </c>
      <c r="C152" t="str">
        <f t="shared" si="7"/>
        <v>Saturday-09-2023</v>
      </c>
      <c r="D152" t="s">
        <v>485</v>
      </c>
      <c r="E152" t="s">
        <v>21</v>
      </c>
      <c r="F152" t="s">
        <v>86</v>
      </c>
      <c r="G152" t="s">
        <v>30</v>
      </c>
      <c r="H152" t="s">
        <v>31</v>
      </c>
      <c r="I152" s="3">
        <v>3720</v>
      </c>
      <c r="J152" s="3">
        <v>744.16399999999999</v>
      </c>
      <c r="K152" t="s">
        <v>17</v>
      </c>
    </row>
    <row r="153" spans="1:11" x14ac:dyDescent="0.35">
      <c r="A153" t="s">
        <v>486</v>
      </c>
      <c r="B153" t="s">
        <v>487</v>
      </c>
      <c r="C153" t="str">
        <f t="shared" si="7"/>
        <v>08-14-2024 05:05</v>
      </c>
      <c r="D153" t="s">
        <v>488</v>
      </c>
      <c r="E153" t="s">
        <v>79</v>
      </c>
      <c r="F153" t="s">
        <v>29</v>
      </c>
      <c r="G153" t="s">
        <v>15</v>
      </c>
      <c r="H153" t="s">
        <v>31</v>
      </c>
      <c r="I153" s="3">
        <v>708</v>
      </c>
      <c r="J153" s="3">
        <v>0</v>
      </c>
      <c r="K153" t="s">
        <v>17</v>
      </c>
    </row>
    <row r="154" spans="1:11" x14ac:dyDescent="0.35">
      <c r="A154" t="s">
        <v>489</v>
      </c>
      <c r="B154" t="s">
        <v>401</v>
      </c>
      <c r="C154" t="str">
        <f t="shared" si="7"/>
        <v>Monday-06-2024</v>
      </c>
      <c r="D154" t="s">
        <v>490</v>
      </c>
      <c r="E154" t="s">
        <v>13</v>
      </c>
      <c r="F154" t="s">
        <v>99</v>
      </c>
      <c r="G154" t="s">
        <v>15</v>
      </c>
      <c r="H154" t="s">
        <v>31</v>
      </c>
      <c r="I154" s="3">
        <v>2479</v>
      </c>
      <c r="J154" s="3">
        <v>495.928</v>
      </c>
      <c r="K154" t="s">
        <v>17</v>
      </c>
    </row>
    <row r="155" spans="1:11" x14ac:dyDescent="0.35">
      <c r="A155" t="s">
        <v>491</v>
      </c>
      <c r="B155" t="s">
        <v>492</v>
      </c>
      <c r="C155" t="str">
        <f t="shared" si="7"/>
        <v>Thursday-10-2024</v>
      </c>
      <c r="D155" t="s">
        <v>493</v>
      </c>
      <c r="E155" t="s">
        <v>13</v>
      </c>
      <c r="F155" t="s">
        <v>36</v>
      </c>
      <c r="G155" t="s">
        <v>30</v>
      </c>
      <c r="H155" t="s">
        <v>41</v>
      </c>
      <c r="I155" s="3">
        <v>3157</v>
      </c>
      <c r="J155" s="3">
        <v>0</v>
      </c>
      <c r="K155" t="s">
        <v>37</v>
      </c>
    </row>
    <row r="156" spans="1:11" x14ac:dyDescent="0.35">
      <c r="A156" t="s">
        <v>494</v>
      </c>
      <c r="B156" t="s">
        <v>495</v>
      </c>
      <c r="C156" t="str">
        <f t="shared" si="7"/>
        <v>Monday-01-2023</v>
      </c>
      <c r="D156" t="s">
        <v>496</v>
      </c>
      <c r="E156" t="s">
        <v>108</v>
      </c>
      <c r="F156" t="s">
        <v>57</v>
      </c>
      <c r="G156" t="s">
        <v>23</v>
      </c>
      <c r="H156" t="s">
        <v>41</v>
      </c>
      <c r="I156" s="3">
        <v>630</v>
      </c>
      <c r="J156" s="3">
        <v>0</v>
      </c>
      <c r="K156" t="s">
        <v>37</v>
      </c>
    </row>
    <row r="157" spans="1:11" x14ac:dyDescent="0.35">
      <c r="A157" t="s">
        <v>497</v>
      </c>
      <c r="B157" t="s">
        <v>498</v>
      </c>
      <c r="C157" t="str">
        <f t="shared" si="7"/>
        <v>Sunday-11-2023</v>
      </c>
      <c r="D157" t="s">
        <v>499</v>
      </c>
      <c r="E157" t="s">
        <v>112</v>
      </c>
      <c r="F157" t="s">
        <v>29</v>
      </c>
      <c r="G157" t="s">
        <v>23</v>
      </c>
      <c r="H157" t="s">
        <v>31</v>
      </c>
      <c r="I157" s="3">
        <v>4151</v>
      </c>
      <c r="J157" s="3">
        <v>415.14700000000005</v>
      </c>
      <c r="K157" t="s">
        <v>17</v>
      </c>
    </row>
    <row r="158" spans="1:11" x14ac:dyDescent="0.35">
      <c r="A158" t="s">
        <v>500</v>
      </c>
      <c r="B158" t="s">
        <v>501</v>
      </c>
      <c r="C158" t="str">
        <f t="shared" si="7"/>
        <v>Monday-08-2024</v>
      </c>
      <c r="D158" t="s">
        <v>502</v>
      </c>
      <c r="E158" t="s">
        <v>112</v>
      </c>
      <c r="F158" t="s">
        <v>29</v>
      </c>
      <c r="G158" t="s">
        <v>15</v>
      </c>
      <c r="H158" t="s">
        <v>41</v>
      </c>
      <c r="I158" s="3">
        <v>3245</v>
      </c>
      <c r="J158" s="3">
        <v>324.517</v>
      </c>
      <c r="K158" t="s">
        <v>24</v>
      </c>
    </row>
    <row r="159" spans="1:11" x14ac:dyDescent="0.35">
      <c r="A159" t="s">
        <v>503</v>
      </c>
      <c r="B159" t="s">
        <v>504</v>
      </c>
      <c r="C159" t="str">
        <f t="shared" si="7"/>
        <v>Tuesday-03-2023</v>
      </c>
      <c r="D159" t="s">
        <v>505</v>
      </c>
      <c r="E159" t="s">
        <v>49</v>
      </c>
      <c r="F159" t="s">
        <v>86</v>
      </c>
      <c r="G159" t="s">
        <v>15</v>
      </c>
      <c r="H159" t="s">
        <v>41</v>
      </c>
      <c r="I159" s="3">
        <v>499</v>
      </c>
      <c r="J159" s="3">
        <v>49.924999999999997</v>
      </c>
      <c r="K159" t="s">
        <v>24</v>
      </c>
    </row>
    <row r="160" spans="1:11" x14ac:dyDescent="0.35">
      <c r="A160" t="s">
        <v>506</v>
      </c>
      <c r="B160" t="s">
        <v>507</v>
      </c>
      <c r="C160" t="str">
        <f t="shared" si="7"/>
        <v>Wednesday-01-2025</v>
      </c>
      <c r="D160" t="s">
        <v>508</v>
      </c>
      <c r="E160" t="s">
        <v>103</v>
      </c>
      <c r="F160" t="s">
        <v>86</v>
      </c>
      <c r="G160" t="s">
        <v>23</v>
      </c>
      <c r="H160" t="s">
        <v>41</v>
      </c>
      <c r="I160" s="3">
        <v>4904</v>
      </c>
      <c r="J160" s="3">
        <v>980.96600000000001</v>
      </c>
      <c r="K160" t="s">
        <v>37</v>
      </c>
    </row>
    <row r="161" spans="1:11" x14ac:dyDescent="0.35">
      <c r="A161" t="s">
        <v>509</v>
      </c>
      <c r="B161" t="s">
        <v>510</v>
      </c>
      <c r="C161" t="str">
        <f t="shared" si="7"/>
        <v>06-30-2023</v>
      </c>
      <c r="D161" t="s">
        <v>511</v>
      </c>
      <c r="E161" t="s">
        <v>53</v>
      </c>
      <c r="F161" t="s">
        <v>22</v>
      </c>
      <c r="G161" t="s">
        <v>15</v>
      </c>
      <c r="H161" t="s">
        <v>41</v>
      </c>
      <c r="I161" s="3">
        <v>481</v>
      </c>
      <c r="J161" s="3">
        <v>96.28</v>
      </c>
      <c r="K161" t="s">
        <v>37</v>
      </c>
    </row>
    <row r="162" spans="1:11" x14ac:dyDescent="0.35">
      <c r="A162" t="s">
        <v>512</v>
      </c>
      <c r="B162" t="s">
        <v>513</v>
      </c>
      <c r="C162" t="str">
        <f t="shared" si="7"/>
        <v>Wednesday-10-2023</v>
      </c>
      <c r="D162" t="s">
        <v>514</v>
      </c>
      <c r="E162" t="s">
        <v>45</v>
      </c>
      <c r="F162" t="s">
        <v>29</v>
      </c>
      <c r="G162" t="s">
        <v>23</v>
      </c>
      <c r="H162" t="s">
        <v>31</v>
      </c>
      <c r="I162" s="3">
        <v>3552</v>
      </c>
      <c r="J162" s="3">
        <v>0</v>
      </c>
      <c r="K162" t="s">
        <v>17</v>
      </c>
    </row>
    <row r="163" spans="1:11" x14ac:dyDescent="0.35">
      <c r="A163" t="s">
        <v>515</v>
      </c>
      <c r="B163" t="s">
        <v>516</v>
      </c>
      <c r="C163" t="str">
        <f t="shared" si="7"/>
        <v>Monday-08-2023</v>
      </c>
      <c r="D163" t="s">
        <v>517</v>
      </c>
      <c r="E163" t="s">
        <v>35</v>
      </c>
      <c r="F163" t="s">
        <v>86</v>
      </c>
      <c r="G163" t="s">
        <v>30</v>
      </c>
      <c r="H163" t="s">
        <v>16</v>
      </c>
      <c r="I163" s="3">
        <v>218</v>
      </c>
      <c r="J163" s="3">
        <v>43.69</v>
      </c>
      <c r="K163" t="s">
        <v>37</v>
      </c>
    </row>
    <row r="164" spans="1:11" x14ac:dyDescent="0.35">
      <c r="A164" t="s">
        <v>518</v>
      </c>
      <c r="B164" t="s">
        <v>519</v>
      </c>
      <c r="C164" t="str">
        <f t="shared" si="7"/>
        <v>Wednesday-09-2024</v>
      </c>
      <c r="D164" t="s">
        <v>520</v>
      </c>
      <c r="E164" t="s">
        <v>108</v>
      </c>
      <c r="F164" t="s">
        <v>29</v>
      </c>
      <c r="G164" t="s">
        <v>23</v>
      </c>
      <c r="H164" t="s">
        <v>31</v>
      </c>
      <c r="I164" s="3">
        <v>1105</v>
      </c>
      <c r="J164" s="3">
        <v>110.53699999999999</v>
      </c>
      <c r="K164" t="s">
        <v>37</v>
      </c>
    </row>
    <row r="165" spans="1:11" x14ac:dyDescent="0.35">
      <c r="A165" t="s">
        <v>521</v>
      </c>
      <c r="B165" t="s">
        <v>522</v>
      </c>
      <c r="C165" t="str">
        <f t="shared" si="7"/>
        <v>Monday-09-2024</v>
      </c>
      <c r="D165" t="s">
        <v>523</v>
      </c>
      <c r="E165" t="s">
        <v>49</v>
      </c>
      <c r="F165" t="s">
        <v>66</v>
      </c>
      <c r="G165" t="s">
        <v>23</v>
      </c>
      <c r="H165" t="s">
        <v>41</v>
      </c>
      <c r="I165" s="3">
        <v>1328</v>
      </c>
      <c r="J165" s="3">
        <v>132.88900000000001</v>
      </c>
      <c r="K165" t="s">
        <v>37</v>
      </c>
    </row>
    <row r="166" spans="1:11" x14ac:dyDescent="0.35">
      <c r="A166" t="s">
        <v>524</v>
      </c>
      <c r="B166" t="s">
        <v>525</v>
      </c>
      <c r="C166" t="str">
        <f t="shared" si="7"/>
        <v>Friday-05-2023</v>
      </c>
      <c r="D166" t="s">
        <v>526</v>
      </c>
      <c r="E166" t="s">
        <v>103</v>
      </c>
      <c r="F166" t="s">
        <v>86</v>
      </c>
      <c r="G166" t="s">
        <v>30</v>
      </c>
      <c r="H166" t="s">
        <v>41</v>
      </c>
      <c r="I166" s="3">
        <v>454</v>
      </c>
      <c r="J166" s="3">
        <v>30.276</v>
      </c>
      <c r="K166" t="s">
        <v>17</v>
      </c>
    </row>
    <row r="167" spans="1:11" x14ac:dyDescent="0.35">
      <c r="A167" t="s">
        <v>527</v>
      </c>
      <c r="B167" t="s">
        <v>528</v>
      </c>
      <c r="C167" t="str">
        <f t="shared" si="7"/>
        <v>08-27-2024</v>
      </c>
      <c r="D167" t="s">
        <v>529</v>
      </c>
      <c r="E167" t="s">
        <v>61</v>
      </c>
      <c r="F167" t="s">
        <v>86</v>
      </c>
      <c r="G167" t="s">
        <v>15</v>
      </c>
      <c r="H167" t="s">
        <v>16</v>
      </c>
      <c r="I167" s="3">
        <v>4806</v>
      </c>
      <c r="J167" s="3">
        <v>480.65600000000006</v>
      </c>
      <c r="K167" t="s">
        <v>24</v>
      </c>
    </row>
    <row r="168" spans="1:11" x14ac:dyDescent="0.35">
      <c r="A168" t="s">
        <v>530</v>
      </c>
      <c r="B168" t="s">
        <v>531</v>
      </c>
      <c r="C168" t="str">
        <f t="shared" si="7"/>
        <v>Monday-10-2023</v>
      </c>
      <c r="D168" t="s">
        <v>532</v>
      </c>
      <c r="E168" t="s">
        <v>13</v>
      </c>
      <c r="F168" t="s">
        <v>22</v>
      </c>
      <c r="G168" t="s">
        <v>30</v>
      </c>
      <c r="H168" t="s">
        <v>31</v>
      </c>
      <c r="I168" s="3">
        <v>4326</v>
      </c>
      <c r="J168" s="3">
        <v>216.34800000000001</v>
      </c>
      <c r="K168" t="s">
        <v>17</v>
      </c>
    </row>
    <row r="169" spans="1:11" x14ac:dyDescent="0.35">
      <c r="A169" t="s">
        <v>533</v>
      </c>
      <c r="B169" t="s">
        <v>534</v>
      </c>
      <c r="C169" t="str">
        <f t="shared" si="7"/>
        <v>Friday-07-2025</v>
      </c>
      <c r="D169" t="s">
        <v>535</v>
      </c>
      <c r="E169" t="s">
        <v>103</v>
      </c>
      <c r="F169" t="s">
        <v>36</v>
      </c>
      <c r="G169" t="s">
        <v>30</v>
      </c>
      <c r="H169" t="s">
        <v>16</v>
      </c>
      <c r="I169" s="3">
        <v>4382</v>
      </c>
      <c r="J169" s="3">
        <v>438.28399999999999</v>
      </c>
      <c r="K169" t="s">
        <v>37</v>
      </c>
    </row>
    <row r="170" spans="1:11" x14ac:dyDescent="0.35">
      <c r="A170" t="s">
        <v>536</v>
      </c>
      <c r="B170" t="s">
        <v>537</v>
      </c>
      <c r="C170" t="str">
        <f t="shared" si="7"/>
        <v>Tuesday-06-2025</v>
      </c>
      <c r="D170" t="s">
        <v>538</v>
      </c>
      <c r="E170" t="s">
        <v>112</v>
      </c>
      <c r="F170" t="s">
        <v>29</v>
      </c>
      <c r="G170" t="s">
        <v>15</v>
      </c>
      <c r="H170" t="s">
        <v>16</v>
      </c>
      <c r="I170" s="3">
        <v>4740</v>
      </c>
      <c r="J170" s="3">
        <v>237.00900000000001</v>
      </c>
      <c r="K170" t="s">
        <v>24</v>
      </c>
    </row>
    <row r="171" spans="1:11" x14ac:dyDescent="0.35">
      <c r="A171" t="s">
        <v>539</v>
      </c>
      <c r="B171" t="s">
        <v>540</v>
      </c>
      <c r="C171" t="str">
        <f t="shared" si="7"/>
        <v>03-19-2023 03:53</v>
      </c>
      <c r="D171" t="s">
        <v>541</v>
      </c>
      <c r="E171" t="s">
        <v>35</v>
      </c>
      <c r="F171" t="s">
        <v>14</v>
      </c>
      <c r="G171" t="s">
        <v>15</v>
      </c>
      <c r="H171" t="s">
        <v>41</v>
      </c>
      <c r="I171" s="3">
        <v>697</v>
      </c>
      <c r="J171" s="3">
        <v>69.739999999999995</v>
      </c>
      <c r="K171" t="s">
        <v>24</v>
      </c>
    </row>
    <row r="172" spans="1:11" x14ac:dyDescent="0.35">
      <c r="A172" t="s">
        <v>542</v>
      </c>
      <c r="B172" t="s">
        <v>543</v>
      </c>
      <c r="C172" t="str">
        <f t="shared" si="7"/>
        <v>Wednesday-11-2024</v>
      </c>
      <c r="D172" t="s">
        <v>544</v>
      </c>
      <c r="E172" t="s">
        <v>103</v>
      </c>
      <c r="F172" t="s">
        <v>22</v>
      </c>
      <c r="G172" t="s">
        <v>23</v>
      </c>
      <c r="H172" t="s">
        <v>31</v>
      </c>
      <c r="I172" s="3">
        <v>3353</v>
      </c>
      <c r="J172" s="3">
        <v>223.56266666666667</v>
      </c>
      <c r="K172" t="s">
        <v>17</v>
      </c>
    </row>
    <row r="173" spans="1:11" x14ac:dyDescent="0.35">
      <c r="A173" t="s">
        <v>545</v>
      </c>
      <c r="B173" t="s">
        <v>546</v>
      </c>
      <c r="C173" t="str">
        <f t="shared" si="7"/>
        <v>Tuesday-02-2025</v>
      </c>
      <c r="D173" t="s">
        <v>547</v>
      </c>
      <c r="E173" t="s">
        <v>13</v>
      </c>
      <c r="F173" t="s">
        <v>86</v>
      </c>
      <c r="G173" t="s">
        <v>23</v>
      </c>
      <c r="H173" t="s">
        <v>41</v>
      </c>
      <c r="I173" s="3">
        <v>3979</v>
      </c>
      <c r="J173" s="3">
        <v>0</v>
      </c>
      <c r="K173" t="s">
        <v>17</v>
      </c>
    </row>
    <row r="174" spans="1:11" x14ac:dyDescent="0.35">
      <c r="A174" t="s">
        <v>548</v>
      </c>
      <c r="B174" t="s">
        <v>549</v>
      </c>
      <c r="C174" t="str">
        <f t="shared" si="7"/>
        <v>Friday-08-2023</v>
      </c>
      <c r="E174" t="s">
        <v>21</v>
      </c>
      <c r="F174" t="s">
        <v>22</v>
      </c>
      <c r="G174" t="s">
        <v>15</v>
      </c>
      <c r="H174" t="s">
        <v>16</v>
      </c>
      <c r="I174" s="3">
        <v>585</v>
      </c>
      <c r="J174" s="3">
        <v>29.296499999999998</v>
      </c>
      <c r="K174" t="s">
        <v>37</v>
      </c>
    </row>
    <row r="175" spans="1:11" x14ac:dyDescent="0.35">
      <c r="A175" t="s">
        <v>550</v>
      </c>
      <c r="B175" t="s">
        <v>551</v>
      </c>
      <c r="C175" t="str">
        <f t="shared" si="7"/>
        <v>Monday-03-2023</v>
      </c>
      <c r="D175" t="s">
        <v>552</v>
      </c>
      <c r="E175" t="s">
        <v>108</v>
      </c>
      <c r="F175" t="s">
        <v>22</v>
      </c>
      <c r="G175" t="s">
        <v>30</v>
      </c>
      <c r="H175" t="s">
        <v>16</v>
      </c>
      <c r="I175" s="3">
        <v>2925</v>
      </c>
      <c r="J175" s="3">
        <v>292.56799999999998</v>
      </c>
      <c r="K175" t="s">
        <v>37</v>
      </c>
    </row>
    <row r="176" spans="1:11" x14ac:dyDescent="0.35">
      <c r="A176" t="s">
        <v>553</v>
      </c>
      <c r="B176" t="s">
        <v>554</v>
      </c>
      <c r="C176" t="str">
        <f t="shared" si="7"/>
        <v>Sunday-03-2025</v>
      </c>
      <c r="D176" t="s">
        <v>555</v>
      </c>
      <c r="E176" t="s">
        <v>103</v>
      </c>
      <c r="F176" t="s">
        <v>86</v>
      </c>
      <c r="G176" t="s">
        <v>15</v>
      </c>
      <c r="H176" t="s">
        <v>16</v>
      </c>
      <c r="I176" s="3">
        <v>1790</v>
      </c>
      <c r="J176" s="3">
        <v>0</v>
      </c>
      <c r="K176" t="s">
        <v>24</v>
      </c>
    </row>
    <row r="177" spans="1:11" x14ac:dyDescent="0.35">
      <c r="A177" t="s">
        <v>556</v>
      </c>
      <c r="B177" t="s">
        <v>557</v>
      </c>
      <c r="C177" t="str">
        <f t="shared" si="7"/>
        <v xml:space="preserve"> 2024-05-31</v>
      </c>
      <c r="D177" t="s">
        <v>558</v>
      </c>
      <c r="E177" t="s">
        <v>112</v>
      </c>
      <c r="F177" t="s">
        <v>22</v>
      </c>
      <c r="G177" t="s">
        <v>23</v>
      </c>
      <c r="H177" t="s">
        <v>31</v>
      </c>
      <c r="I177" s="3">
        <v>1570</v>
      </c>
      <c r="J177" s="3">
        <v>157.07599999999999</v>
      </c>
      <c r="K177" t="s">
        <v>17</v>
      </c>
    </row>
    <row r="178" spans="1:11" x14ac:dyDescent="0.35">
      <c r="A178" t="s">
        <v>559</v>
      </c>
      <c r="B178" t="s">
        <v>560</v>
      </c>
      <c r="C178" t="str">
        <f t="shared" si="7"/>
        <v>Wednesday-06-2024</v>
      </c>
      <c r="D178" t="s">
        <v>561</v>
      </c>
      <c r="E178" t="s">
        <v>79</v>
      </c>
      <c r="F178" t="s">
        <v>14</v>
      </c>
      <c r="G178" t="s">
        <v>30</v>
      </c>
      <c r="H178" t="s">
        <v>41</v>
      </c>
      <c r="I178" s="3">
        <v>1050</v>
      </c>
      <c r="J178" s="3">
        <v>70.010666666666665</v>
      </c>
      <c r="K178" t="s">
        <v>17</v>
      </c>
    </row>
    <row r="179" spans="1:11" x14ac:dyDescent="0.35">
      <c r="A179" t="s">
        <v>562</v>
      </c>
      <c r="B179" t="s">
        <v>563</v>
      </c>
      <c r="C179" t="str">
        <f t="shared" si="7"/>
        <v xml:space="preserve"> 11-Oct-2023</v>
      </c>
      <c r="D179" t="s">
        <v>564</v>
      </c>
      <c r="E179" t="s">
        <v>112</v>
      </c>
      <c r="F179" t="s">
        <v>36</v>
      </c>
      <c r="G179" t="s">
        <v>30</v>
      </c>
      <c r="H179" t="s">
        <v>41</v>
      </c>
      <c r="I179" s="3">
        <v>2832</v>
      </c>
      <c r="J179" s="3">
        <v>283.286</v>
      </c>
      <c r="K179" t="s">
        <v>37</v>
      </c>
    </row>
    <row r="180" spans="1:11" x14ac:dyDescent="0.35">
      <c r="A180" t="s">
        <v>565</v>
      </c>
      <c r="B180" t="s">
        <v>566</v>
      </c>
      <c r="C180" t="str">
        <f t="shared" si="7"/>
        <v>Wednesday-02-2024</v>
      </c>
      <c r="D180" t="s">
        <v>567</v>
      </c>
      <c r="E180" t="s">
        <v>13</v>
      </c>
      <c r="F180" t="s">
        <v>36</v>
      </c>
      <c r="G180" t="s">
        <v>30</v>
      </c>
      <c r="H180" t="s">
        <v>16</v>
      </c>
      <c r="I180" s="3">
        <v>3248</v>
      </c>
      <c r="J180" s="3">
        <v>162.416</v>
      </c>
      <c r="K180" t="s">
        <v>17</v>
      </c>
    </row>
    <row r="181" spans="1:11" x14ac:dyDescent="0.35">
      <c r="A181" t="s">
        <v>568</v>
      </c>
      <c r="B181" t="s">
        <v>569</v>
      </c>
      <c r="C181" t="str">
        <f t="shared" si="7"/>
        <v xml:space="preserve"> 05-11-2023 01:21</v>
      </c>
      <c r="D181" t="s">
        <v>570</v>
      </c>
      <c r="E181" t="s">
        <v>112</v>
      </c>
      <c r="F181" t="s">
        <v>36</v>
      </c>
      <c r="G181" t="s">
        <v>23</v>
      </c>
      <c r="H181" t="s">
        <v>41</v>
      </c>
      <c r="I181" s="3">
        <v>4511</v>
      </c>
      <c r="J181" s="3">
        <v>451.12299999999993</v>
      </c>
      <c r="K181" t="s">
        <v>17</v>
      </c>
    </row>
    <row r="182" spans="1:11" x14ac:dyDescent="0.35">
      <c r="A182" t="s">
        <v>571</v>
      </c>
      <c r="B182" t="s">
        <v>572</v>
      </c>
      <c r="C182" t="str">
        <f t="shared" si="7"/>
        <v>05-26-2024 21:03</v>
      </c>
      <c r="D182" t="s">
        <v>124</v>
      </c>
      <c r="E182" t="s">
        <v>61</v>
      </c>
      <c r="F182" t="s">
        <v>22</v>
      </c>
      <c r="G182" t="s">
        <v>15</v>
      </c>
      <c r="H182" t="s">
        <v>31</v>
      </c>
      <c r="I182" s="3">
        <v>774</v>
      </c>
      <c r="J182" s="3">
        <v>77.432000000000002</v>
      </c>
      <c r="K182" t="s">
        <v>17</v>
      </c>
    </row>
    <row r="183" spans="1:11" x14ac:dyDescent="0.35">
      <c r="A183" t="s">
        <v>573</v>
      </c>
      <c r="B183" t="s">
        <v>574</v>
      </c>
      <c r="C183" t="str">
        <f t="shared" si="7"/>
        <v>Wednesday-05-2024</v>
      </c>
      <c r="D183" t="s">
        <v>575</v>
      </c>
      <c r="E183" t="s">
        <v>21</v>
      </c>
      <c r="F183" t="s">
        <v>62</v>
      </c>
      <c r="G183" t="s">
        <v>30</v>
      </c>
      <c r="H183" t="s">
        <v>31</v>
      </c>
      <c r="I183" s="3">
        <v>951</v>
      </c>
      <c r="J183" s="3">
        <v>0</v>
      </c>
      <c r="K183" t="s">
        <v>24</v>
      </c>
    </row>
    <row r="184" spans="1:11" x14ac:dyDescent="0.35">
      <c r="A184" t="s">
        <v>576</v>
      </c>
      <c r="B184" t="s">
        <v>577</v>
      </c>
      <c r="C184" t="str">
        <f t="shared" si="7"/>
        <v xml:space="preserve"> 17/12/2023</v>
      </c>
      <c r="D184" t="s">
        <v>578</v>
      </c>
      <c r="E184" t="s">
        <v>28</v>
      </c>
      <c r="F184" t="s">
        <v>86</v>
      </c>
      <c r="G184" t="s">
        <v>15</v>
      </c>
      <c r="H184" t="s">
        <v>41</v>
      </c>
      <c r="I184" s="3">
        <v>1736</v>
      </c>
      <c r="J184" s="3">
        <v>0</v>
      </c>
      <c r="K184" t="s">
        <v>24</v>
      </c>
    </row>
    <row r="185" spans="1:11" x14ac:dyDescent="0.35">
      <c r="A185" t="s">
        <v>579</v>
      </c>
      <c r="B185" t="s">
        <v>580</v>
      </c>
      <c r="C185" t="str">
        <f t="shared" si="7"/>
        <v>Sunday-01-2023</v>
      </c>
      <c r="D185" t="s">
        <v>581</v>
      </c>
      <c r="E185" t="s">
        <v>79</v>
      </c>
      <c r="F185" t="s">
        <v>36</v>
      </c>
      <c r="G185" t="s">
        <v>30</v>
      </c>
      <c r="H185" t="s">
        <v>41</v>
      </c>
      <c r="I185" s="3">
        <v>4430</v>
      </c>
      <c r="J185" s="3">
        <v>0</v>
      </c>
      <c r="K185" t="s">
        <v>37</v>
      </c>
    </row>
    <row r="186" spans="1:11" x14ac:dyDescent="0.35">
      <c r="A186" t="s">
        <v>582</v>
      </c>
      <c r="B186" t="s">
        <v>583</v>
      </c>
      <c r="C186" t="str">
        <f t="shared" si="7"/>
        <v>Friday-10-2023</v>
      </c>
      <c r="D186" t="s">
        <v>584</v>
      </c>
      <c r="E186" t="s">
        <v>13</v>
      </c>
      <c r="F186" t="s">
        <v>29</v>
      </c>
      <c r="G186" t="s">
        <v>30</v>
      </c>
      <c r="H186" t="s">
        <v>31</v>
      </c>
      <c r="I186" s="3">
        <v>3567</v>
      </c>
      <c r="J186" s="3">
        <v>0</v>
      </c>
      <c r="K186" t="s">
        <v>37</v>
      </c>
    </row>
    <row r="187" spans="1:11" x14ac:dyDescent="0.35">
      <c r="A187" t="s">
        <v>585</v>
      </c>
      <c r="B187" t="s">
        <v>586</v>
      </c>
      <c r="C187" t="str">
        <f t="shared" si="7"/>
        <v>10-24-2024 21:53</v>
      </c>
      <c r="E187" t="s">
        <v>21</v>
      </c>
      <c r="F187" t="s">
        <v>36</v>
      </c>
      <c r="G187" t="s">
        <v>23</v>
      </c>
      <c r="H187" t="s">
        <v>31</v>
      </c>
      <c r="I187" s="3">
        <v>4250</v>
      </c>
      <c r="J187" s="3">
        <v>0</v>
      </c>
      <c r="K187" t="s">
        <v>24</v>
      </c>
    </row>
    <row r="188" spans="1:11" x14ac:dyDescent="0.35">
      <c r="A188" t="s">
        <v>587</v>
      </c>
      <c r="B188" t="s">
        <v>588</v>
      </c>
      <c r="C188" t="str">
        <f t="shared" si="7"/>
        <v>Wednesday-05-2023</v>
      </c>
      <c r="D188" t="s">
        <v>589</v>
      </c>
      <c r="E188" t="s">
        <v>35</v>
      </c>
      <c r="F188" t="s">
        <v>86</v>
      </c>
      <c r="G188" t="s">
        <v>30</v>
      </c>
      <c r="H188" t="s">
        <v>41</v>
      </c>
      <c r="I188" s="3">
        <v>1382</v>
      </c>
      <c r="J188" s="3">
        <v>0</v>
      </c>
      <c r="K188" t="s">
        <v>24</v>
      </c>
    </row>
    <row r="189" spans="1:11" x14ac:dyDescent="0.35">
      <c r="A189" t="s">
        <v>590</v>
      </c>
      <c r="B189" t="s">
        <v>591</v>
      </c>
      <c r="C189" t="str">
        <f t="shared" si="7"/>
        <v>Wednesday-05-2025</v>
      </c>
      <c r="D189" t="s">
        <v>592</v>
      </c>
      <c r="E189" t="s">
        <v>49</v>
      </c>
      <c r="F189" t="s">
        <v>66</v>
      </c>
      <c r="G189" t="s">
        <v>30</v>
      </c>
      <c r="H189" t="s">
        <v>31</v>
      </c>
      <c r="I189" s="3">
        <v>2494</v>
      </c>
      <c r="J189" s="3">
        <v>166.29466666666667</v>
      </c>
      <c r="K189" t="s">
        <v>24</v>
      </c>
    </row>
    <row r="190" spans="1:11" x14ac:dyDescent="0.35">
      <c r="A190" t="s">
        <v>593</v>
      </c>
      <c r="B190" t="s">
        <v>594</v>
      </c>
      <c r="C190" t="str">
        <f t="shared" si="7"/>
        <v>10-23-2023 08:17</v>
      </c>
      <c r="D190" t="s">
        <v>595</v>
      </c>
      <c r="E190" t="s">
        <v>61</v>
      </c>
      <c r="F190" t="s">
        <v>22</v>
      </c>
      <c r="G190" t="s">
        <v>15</v>
      </c>
      <c r="H190" t="s">
        <v>41</v>
      </c>
      <c r="I190" s="3">
        <v>1517</v>
      </c>
      <c r="J190" s="3">
        <v>0</v>
      </c>
      <c r="K190" t="s">
        <v>24</v>
      </c>
    </row>
    <row r="191" spans="1:11" x14ac:dyDescent="0.35">
      <c r="A191" t="s">
        <v>596</v>
      </c>
      <c r="B191" t="s">
        <v>597</v>
      </c>
      <c r="C191" t="str">
        <f t="shared" si="7"/>
        <v>Sunday-12-2024</v>
      </c>
      <c r="D191" t="s">
        <v>431</v>
      </c>
      <c r="E191" t="s">
        <v>253</v>
      </c>
      <c r="F191" t="s">
        <v>86</v>
      </c>
      <c r="G191" t="s">
        <v>30</v>
      </c>
      <c r="H191" t="s">
        <v>31</v>
      </c>
      <c r="I191" s="3">
        <v>1040</v>
      </c>
      <c r="J191" s="3">
        <v>104.045</v>
      </c>
      <c r="K191" t="s">
        <v>24</v>
      </c>
    </row>
    <row r="192" spans="1:11" x14ac:dyDescent="0.35">
      <c r="A192" t="s">
        <v>598</v>
      </c>
      <c r="B192" t="s">
        <v>599</v>
      </c>
      <c r="C192" t="str">
        <f t="shared" si="7"/>
        <v>Monday-05-2023</v>
      </c>
      <c r="D192" t="s">
        <v>600</v>
      </c>
      <c r="E192" t="s">
        <v>45</v>
      </c>
      <c r="F192" t="s">
        <v>22</v>
      </c>
      <c r="G192" t="s">
        <v>23</v>
      </c>
      <c r="H192" t="s">
        <v>31</v>
      </c>
      <c r="I192" s="3">
        <v>2376</v>
      </c>
      <c r="J192" s="3">
        <v>237.69699999999997</v>
      </c>
      <c r="K192" t="s">
        <v>24</v>
      </c>
    </row>
    <row r="193" spans="1:11" x14ac:dyDescent="0.35">
      <c r="A193" t="s">
        <v>601</v>
      </c>
      <c r="B193" t="s">
        <v>602</v>
      </c>
      <c r="C193" t="str">
        <f t="shared" si="7"/>
        <v>Wednesday-11-2023</v>
      </c>
      <c r="D193" t="s">
        <v>603</v>
      </c>
      <c r="E193" t="s">
        <v>112</v>
      </c>
      <c r="F193" t="s">
        <v>143</v>
      </c>
      <c r="G193" t="s">
        <v>30</v>
      </c>
      <c r="H193" t="s">
        <v>16</v>
      </c>
      <c r="I193" s="3">
        <v>2786</v>
      </c>
      <c r="J193" s="3">
        <v>278.64999999999998</v>
      </c>
      <c r="K193" t="s">
        <v>17</v>
      </c>
    </row>
    <row r="194" spans="1:11" x14ac:dyDescent="0.35">
      <c r="A194" t="s">
        <v>604</v>
      </c>
      <c r="B194" t="s">
        <v>605</v>
      </c>
      <c r="C194" t="str">
        <f t="shared" si="7"/>
        <v>Thursday-10-2024</v>
      </c>
      <c r="D194" t="s">
        <v>606</v>
      </c>
      <c r="E194" t="s">
        <v>253</v>
      </c>
      <c r="F194" t="s">
        <v>14</v>
      </c>
      <c r="G194" t="s">
        <v>15</v>
      </c>
      <c r="H194" t="s">
        <v>31</v>
      </c>
      <c r="I194" s="3">
        <v>2158</v>
      </c>
      <c r="J194" s="3">
        <v>431.61800000000005</v>
      </c>
      <c r="K194" t="s">
        <v>24</v>
      </c>
    </row>
    <row r="195" spans="1:11" x14ac:dyDescent="0.35">
      <c r="A195" t="s">
        <v>607</v>
      </c>
      <c r="B195" t="s">
        <v>608</v>
      </c>
      <c r="C195" t="str">
        <f t="shared" ref="C195:C258" si="8">TEXT(B195,"dddd-mm-yyyy")</f>
        <v>Thursday-06-2024</v>
      </c>
      <c r="D195" t="s">
        <v>609</v>
      </c>
      <c r="E195" t="s">
        <v>112</v>
      </c>
      <c r="F195" t="s">
        <v>14</v>
      </c>
      <c r="G195" t="s">
        <v>23</v>
      </c>
      <c r="H195" t="s">
        <v>41</v>
      </c>
      <c r="I195" s="3">
        <v>2422</v>
      </c>
      <c r="J195" s="3">
        <v>0</v>
      </c>
      <c r="K195" t="s">
        <v>17</v>
      </c>
    </row>
    <row r="196" spans="1:11" x14ac:dyDescent="0.35">
      <c r="A196" t="s">
        <v>610</v>
      </c>
      <c r="B196" t="s">
        <v>611</v>
      </c>
      <c r="C196" t="str">
        <f t="shared" si="8"/>
        <v>Wednesday-02-2025</v>
      </c>
      <c r="D196" t="s">
        <v>612</v>
      </c>
      <c r="E196" t="s">
        <v>13</v>
      </c>
      <c r="F196" t="s">
        <v>86</v>
      </c>
      <c r="G196" t="s">
        <v>23</v>
      </c>
      <c r="H196" t="s">
        <v>41</v>
      </c>
      <c r="I196" s="3">
        <v>4357</v>
      </c>
      <c r="J196" s="3">
        <v>871.5</v>
      </c>
      <c r="K196" t="s">
        <v>17</v>
      </c>
    </row>
    <row r="197" spans="1:11" x14ac:dyDescent="0.35">
      <c r="A197" t="s">
        <v>613</v>
      </c>
      <c r="C197" t="str">
        <f t="shared" si="8"/>
        <v>Saturday-01-1900</v>
      </c>
      <c r="D197" t="s">
        <v>614</v>
      </c>
      <c r="E197" t="s">
        <v>112</v>
      </c>
      <c r="F197" t="s">
        <v>36</v>
      </c>
      <c r="G197" t="s">
        <v>15</v>
      </c>
      <c r="H197" t="s">
        <v>41</v>
      </c>
      <c r="I197" s="3">
        <v>942</v>
      </c>
      <c r="J197" s="3">
        <v>188.50399999999999</v>
      </c>
      <c r="K197" t="s">
        <v>17</v>
      </c>
    </row>
    <row r="198" spans="1:11" x14ac:dyDescent="0.35">
      <c r="A198" t="s">
        <v>615</v>
      </c>
      <c r="B198" t="s">
        <v>616</v>
      </c>
      <c r="C198" t="str">
        <f t="shared" si="8"/>
        <v xml:space="preserve"> 18-Jan-2024 09:22</v>
      </c>
      <c r="D198" t="s">
        <v>617</v>
      </c>
      <c r="E198" t="s">
        <v>375</v>
      </c>
      <c r="F198" t="s">
        <v>22</v>
      </c>
      <c r="G198" t="s">
        <v>30</v>
      </c>
      <c r="H198" t="s">
        <v>16</v>
      </c>
      <c r="I198" s="3">
        <v>4308</v>
      </c>
      <c r="J198" s="3">
        <v>861.62199999999996</v>
      </c>
      <c r="K198" t="s">
        <v>37</v>
      </c>
    </row>
    <row r="199" spans="1:11" x14ac:dyDescent="0.35">
      <c r="A199" t="s">
        <v>618</v>
      </c>
      <c r="B199" t="s">
        <v>619</v>
      </c>
      <c r="C199" t="str">
        <f t="shared" si="8"/>
        <v>Thursday-04-2023</v>
      </c>
      <c r="D199" t="s">
        <v>620</v>
      </c>
      <c r="E199" t="s">
        <v>13</v>
      </c>
      <c r="F199" t="s">
        <v>22</v>
      </c>
      <c r="G199" t="s">
        <v>15</v>
      </c>
      <c r="H199" t="s">
        <v>31</v>
      </c>
      <c r="I199" s="3">
        <v>2679</v>
      </c>
      <c r="J199" s="3">
        <v>0</v>
      </c>
      <c r="K199" t="s">
        <v>17</v>
      </c>
    </row>
    <row r="200" spans="1:11" x14ac:dyDescent="0.35">
      <c r="A200" t="s">
        <v>621</v>
      </c>
      <c r="C200" t="str">
        <f t="shared" si="8"/>
        <v>Saturday-01-1900</v>
      </c>
      <c r="D200" t="s">
        <v>622</v>
      </c>
      <c r="E200" t="s">
        <v>28</v>
      </c>
      <c r="F200" t="s">
        <v>57</v>
      </c>
      <c r="G200" t="s">
        <v>23</v>
      </c>
      <c r="H200" t="s">
        <v>31</v>
      </c>
      <c r="I200" s="3">
        <v>4291</v>
      </c>
      <c r="J200" s="3">
        <v>858.35599999999999</v>
      </c>
      <c r="K200" t="s">
        <v>17</v>
      </c>
    </row>
    <row r="201" spans="1:11" x14ac:dyDescent="0.35">
      <c r="A201" t="s">
        <v>623</v>
      </c>
      <c r="B201" t="s">
        <v>624</v>
      </c>
      <c r="C201" t="str">
        <f t="shared" si="8"/>
        <v>Sunday-03-2024</v>
      </c>
      <c r="D201" t="s">
        <v>625</v>
      </c>
      <c r="E201" t="s">
        <v>269</v>
      </c>
      <c r="F201" t="s">
        <v>143</v>
      </c>
      <c r="G201" t="s">
        <v>23</v>
      </c>
      <c r="H201" t="s">
        <v>31</v>
      </c>
      <c r="I201" s="3">
        <v>2034</v>
      </c>
      <c r="J201" s="3">
        <v>0</v>
      </c>
      <c r="K201" t="s">
        <v>17</v>
      </c>
    </row>
    <row r="202" spans="1:11" x14ac:dyDescent="0.35">
      <c r="A202" t="s">
        <v>626</v>
      </c>
      <c r="B202" t="s">
        <v>627</v>
      </c>
      <c r="C202" t="str">
        <f t="shared" si="8"/>
        <v>Tuesday-02-2023</v>
      </c>
      <c r="D202" t="s">
        <v>628</v>
      </c>
      <c r="E202" t="s">
        <v>28</v>
      </c>
      <c r="F202" t="s">
        <v>66</v>
      </c>
      <c r="G202" t="s">
        <v>23</v>
      </c>
      <c r="H202" t="s">
        <v>16</v>
      </c>
      <c r="I202" s="3">
        <v>4917</v>
      </c>
      <c r="J202" s="3">
        <v>0</v>
      </c>
      <c r="K202" t="s">
        <v>17</v>
      </c>
    </row>
    <row r="203" spans="1:11" x14ac:dyDescent="0.35">
      <c r="A203" t="s">
        <v>629</v>
      </c>
      <c r="B203" t="s">
        <v>630</v>
      </c>
      <c r="C203" t="str">
        <f t="shared" si="8"/>
        <v>Monday-10-2023</v>
      </c>
      <c r="D203" t="s">
        <v>631</v>
      </c>
      <c r="E203" t="s">
        <v>45</v>
      </c>
      <c r="F203" t="s">
        <v>14</v>
      </c>
      <c r="G203" t="s">
        <v>30</v>
      </c>
      <c r="H203" t="s">
        <v>31</v>
      </c>
      <c r="I203" s="3">
        <v>616</v>
      </c>
      <c r="J203" s="3">
        <v>41.12866666666666</v>
      </c>
      <c r="K203" t="s">
        <v>17</v>
      </c>
    </row>
    <row r="204" spans="1:11" x14ac:dyDescent="0.35">
      <c r="A204" t="s">
        <v>632</v>
      </c>
      <c r="B204" t="s">
        <v>633</v>
      </c>
      <c r="C204" t="str">
        <f t="shared" si="8"/>
        <v>Sunday-07-2023</v>
      </c>
      <c r="D204" t="s">
        <v>634</v>
      </c>
      <c r="E204" t="s">
        <v>13</v>
      </c>
      <c r="F204" t="s">
        <v>99</v>
      </c>
      <c r="G204" t="s">
        <v>30</v>
      </c>
      <c r="H204" t="s">
        <v>41</v>
      </c>
      <c r="I204" s="3">
        <v>4605</v>
      </c>
      <c r="J204" s="3">
        <v>0</v>
      </c>
      <c r="K204" t="s">
        <v>24</v>
      </c>
    </row>
    <row r="205" spans="1:11" x14ac:dyDescent="0.35">
      <c r="A205" t="s">
        <v>635</v>
      </c>
      <c r="B205" t="s">
        <v>636</v>
      </c>
      <c r="C205" t="str">
        <f t="shared" si="8"/>
        <v>Saturday-07-2024</v>
      </c>
      <c r="D205" t="s">
        <v>637</v>
      </c>
      <c r="E205" t="s">
        <v>13</v>
      </c>
      <c r="F205" t="s">
        <v>22</v>
      </c>
      <c r="G205" t="s">
        <v>30</v>
      </c>
      <c r="H205" t="s">
        <v>16</v>
      </c>
      <c r="I205" s="3">
        <v>1204</v>
      </c>
      <c r="J205" s="3">
        <v>80.292000000000002</v>
      </c>
      <c r="K205" t="s">
        <v>24</v>
      </c>
    </row>
    <row r="206" spans="1:11" x14ac:dyDescent="0.35">
      <c r="A206" t="s">
        <v>638</v>
      </c>
      <c r="B206" t="s">
        <v>639</v>
      </c>
      <c r="C206" t="str">
        <f t="shared" si="8"/>
        <v>Wednesday-03-2023</v>
      </c>
      <c r="D206" t="s">
        <v>640</v>
      </c>
      <c r="E206" t="s">
        <v>49</v>
      </c>
      <c r="F206" t="s">
        <v>14</v>
      </c>
      <c r="G206" t="s">
        <v>23</v>
      </c>
      <c r="H206" t="s">
        <v>31</v>
      </c>
      <c r="I206" s="3">
        <v>4319</v>
      </c>
      <c r="J206" s="3">
        <v>0</v>
      </c>
      <c r="K206" t="s">
        <v>17</v>
      </c>
    </row>
    <row r="207" spans="1:11" x14ac:dyDescent="0.35">
      <c r="A207" t="s">
        <v>641</v>
      </c>
      <c r="B207" t="s">
        <v>642</v>
      </c>
      <c r="C207" t="str">
        <f t="shared" si="8"/>
        <v xml:space="preserve">12-31-2023 12:46 </v>
      </c>
      <c r="D207" t="s">
        <v>643</v>
      </c>
      <c r="E207" t="s">
        <v>112</v>
      </c>
      <c r="F207" t="s">
        <v>86</v>
      </c>
      <c r="G207" t="s">
        <v>23</v>
      </c>
      <c r="H207" t="s">
        <v>31</v>
      </c>
      <c r="I207" s="3">
        <v>4923</v>
      </c>
      <c r="J207" s="3">
        <v>984.7299999999999</v>
      </c>
      <c r="K207" t="s">
        <v>17</v>
      </c>
    </row>
    <row r="208" spans="1:11" x14ac:dyDescent="0.35">
      <c r="A208" t="s">
        <v>644</v>
      </c>
      <c r="B208" t="s">
        <v>645</v>
      </c>
      <c r="C208" t="str">
        <f t="shared" si="8"/>
        <v>Wednesday-02-2024</v>
      </c>
      <c r="D208" t="s">
        <v>646</v>
      </c>
      <c r="E208" t="s">
        <v>53</v>
      </c>
      <c r="F208" t="s">
        <v>29</v>
      </c>
      <c r="G208" t="s">
        <v>15</v>
      </c>
      <c r="H208" t="s">
        <v>16</v>
      </c>
      <c r="I208" s="3">
        <v>3944</v>
      </c>
      <c r="J208" s="3">
        <v>788.97199999999998</v>
      </c>
      <c r="K208" t="s">
        <v>37</v>
      </c>
    </row>
    <row r="209" spans="1:11" x14ac:dyDescent="0.35">
      <c r="A209" t="s">
        <v>647</v>
      </c>
      <c r="C209" t="str">
        <f t="shared" si="8"/>
        <v>Saturday-01-1900</v>
      </c>
      <c r="D209" t="s">
        <v>648</v>
      </c>
      <c r="E209" t="s">
        <v>35</v>
      </c>
      <c r="F209" t="s">
        <v>29</v>
      </c>
      <c r="G209" t="s">
        <v>15</v>
      </c>
      <c r="H209" t="s">
        <v>31</v>
      </c>
      <c r="I209" s="3">
        <v>1872</v>
      </c>
      <c r="J209" s="3">
        <v>187.29000000000002</v>
      </c>
      <c r="K209" t="s">
        <v>17</v>
      </c>
    </row>
    <row r="210" spans="1:11" x14ac:dyDescent="0.35">
      <c r="A210" t="s">
        <v>649</v>
      </c>
      <c r="B210" t="s">
        <v>650</v>
      </c>
      <c r="C210" t="str">
        <f t="shared" si="8"/>
        <v>Sunday-03-2025</v>
      </c>
      <c r="D210" t="s">
        <v>651</v>
      </c>
      <c r="E210" t="s">
        <v>108</v>
      </c>
      <c r="F210" t="s">
        <v>57</v>
      </c>
      <c r="G210" t="s">
        <v>30</v>
      </c>
      <c r="H210" t="s">
        <v>16</v>
      </c>
      <c r="I210" s="3">
        <v>1766</v>
      </c>
      <c r="J210" s="3">
        <v>176.60499999999999</v>
      </c>
      <c r="K210" t="s">
        <v>17</v>
      </c>
    </row>
    <row r="211" spans="1:11" x14ac:dyDescent="0.35">
      <c r="A211" t="s">
        <v>652</v>
      </c>
      <c r="B211" t="s">
        <v>653</v>
      </c>
      <c r="C211" t="str">
        <f t="shared" si="8"/>
        <v>Monday-08-2024</v>
      </c>
      <c r="D211" t="s">
        <v>654</v>
      </c>
      <c r="E211" t="s">
        <v>45</v>
      </c>
      <c r="F211" t="s">
        <v>22</v>
      </c>
      <c r="G211" t="s">
        <v>23</v>
      </c>
      <c r="H211" t="s">
        <v>41</v>
      </c>
      <c r="I211" s="3">
        <v>1348</v>
      </c>
      <c r="J211" s="3">
        <v>67.42949999999999</v>
      </c>
      <c r="K211" t="s">
        <v>17</v>
      </c>
    </row>
    <row r="212" spans="1:11" x14ac:dyDescent="0.35">
      <c r="A212" t="s">
        <v>655</v>
      </c>
      <c r="B212" t="s">
        <v>656</v>
      </c>
      <c r="C212" t="str">
        <f t="shared" si="8"/>
        <v>Friday-06-2025</v>
      </c>
      <c r="D212" t="s">
        <v>657</v>
      </c>
      <c r="E212" t="s">
        <v>28</v>
      </c>
      <c r="F212" t="s">
        <v>29</v>
      </c>
      <c r="G212" t="s">
        <v>30</v>
      </c>
      <c r="H212" t="s">
        <v>16</v>
      </c>
      <c r="I212" s="3">
        <v>3990</v>
      </c>
      <c r="J212" s="3">
        <v>0</v>
      </c>
      <c r="K212" t="s">
        <v>37</v>
      </c>
    </row>
    <row r="213" spans="1:11" x14ac:dyDescent="0.35">
      <c r="A213" t="s">
        <v>658</v>
      </c>
      <c r="B213" t="s">
        <v>659</v>
      </c>
      <c r="C213" t="str">
        <f t="shared" si="8"/>
        <v>Thursday-10-2023</v>
      </c>
      <c r="D213" t="s">
        <v>660</v>
      </c>
      <c r="E213" t="s">
        <v>45</v>
      </c>
      <c r="F213" t="s">
        <v>36</v>
      </c>
      <c r="G213" t="s">
        <v>15</v>
      </c>
      <c r="H213" t="s">
        <v>41</v>
      </c>
      <c r="I213" s="3">
        <v>4611</v>
      </c>
      <c r="J213" s="3">
        <v>230.57600000000002</v>
      </c>
      <c r="K213" t="s">
        <v>37</v>
      </c>
    </row>
    <row r="214" spans="1:11" x14ac:dyDescent="0.35">
      <c r="A214" t="s">
        <v>661</v>
      </c>
      <c r="B214" t="s">
        <v>662</v>
      </c>
      <c r="C214" t="str">
        <f t="shared" si="8"/>
        <v>05-14-2023 08:37</v>
      </c>
      <c r="D214" t="s">
        <v>663</v>
      </c>
      <c r="E214" t="s">
        <v>45</v>
      </c>
      <c r="F214" t="s">
        <v>62</v>
      </c>
      <c r="G214" t="s">
        <v>15</v>
      </c>
      <c r="H214" t="s">
        <v>16</v>
      </c>
      <c r="I214" s="3">
        <v>1954</v>
      </c>
      <c r="J214" s="3">
        <v>130.31399999999999</v>
      </c>
      <c r="K214" t="s">
        <v>17</v>
      </c>
    </row>
    <row r="215" spans="1:11" x14ac:dyDescent="0.35">
      <c r="A215" t="s">
        <v>664</v>
      </c>
      <c r="B215" t="s">
        <v>665</v>
      </c>
      <c r="C215" t="str">
        <f t="shared" si="8"/>
        <v>Wednesday-04-2025</v>
      </c>
      <c r="D215" t="s">
        <v>666</v>
      </c>
      <c r="E215" t="s">
        <v>49</v>
      </c>
      <c r="F215" t="s">
        <v>86</v>
      </c>
      <c r="G215" t="s">
        <v>15</v>
      </c>
      <c r="H215" t="s">
        <v>16</v>
      </c>
      <c r="I215" s="3">
        <v>1532</v>
      </c>
      <c r="J215" s="3">
        <v>0</v>
      </c>
      <c r="K215" t="s">
        <v>37</v>
      </c>
    </row>
    <row r="216" spans="1:11" x14ac:dyDescent="0.35">
      <c r="A216" t="s">
        <v>667</v>
      </c>
      <c r="B216" t="s">
        <v>668</v>
      </c>
      <c r="C216" t="str">
        <f t="shared" si="8"/>
        <v>Monday-01-2023</v>
      </c>
      <c r="D216" t="s">
        <v>669</v>
      </c>
      <c r="E216" t="s">
        <v>21</v>
      </c>
      <c r="F216" t="s">
        <v>29</v>
      </c>
      <c r="G216" t="s">
        <v>30</v>
      </c>
      <c r="H216" t="s">
        <v>41</v>
      </c>
      <c r="I216" s="3">
        <v>4674</v>
      </c>
      <c r="J216" s="3">
        <v>467.46600000000001</v>
      </c>
      <c r="K216" t="s">
        <v>24</v>
      </c>
    </row>
    <row r="217" spans="1:11" x14ac:dyDescent="0.35">
      <c r="A217" t="s">
        <v>670</v>
      </c>
      <c r="B217" t="s">
        <v>671</v>
      </c>
      <c r="C217" t="str">
        <f t="shared" si="8"/>
        <v>Friday-01-2024</v>
      </c>
      <c r="D217" t="s">
        <v>672</v>
      </c>
      <c r="E217" t="s">
        <v>112</v>
      </c>
      <c r="F217" t="s">
        <v>86</v>
      </c>
      <c r="G217" t="s">
        <v>30</v>
      </c>
      <c r="H217" t="s">
        <v>16</v>
      </c>
      <c r="I217" s="3">
        <v>2774</v>
      </c>
      <c r="J217" s="3">
        <v>277.41800000000001</v>
      </c>
      <c r="K217" t="s">
        <v>37</v>
      </c>
    </row>
    <row r="218" spans="1:11" x14ac:dyDescent="0.35">
      <c r="A218" t="s">
        <v>673</v>
      </c>
      <c r="B218" t="s">
        <v>674</v>
      </c>
      <c r="C218" t="str">
        <f t="shared" si="8"/>
        <v>Thursday-03-2023</v>
      </c>
      <c r="D218" t="s">
        <v>675</v>
      </c>
      <c r="E218" t="s">
        <v>13</v>
      </c>
      <c r="F218" t="s">
        <v>57</v>
      </c>
      <c r="G218" t="s">
        <v>23</v>
      </c>
      <c r="H218" t="s">
        <v>31</v>
      </c>
      <c r="I218" s="3">
        <v>420</v>
      </c>
      <c r="J218" s="3">
        <v>28.033333333333335</v>
      </c>
      <c r="K218" t="s">
        <v>17</v>
      </c>
    </row>
    <row r="219" spans="1:11" x14ac:dyDescent="0.35">
      <c r="A219" t="s">
        <v>676</v>
      </c>
      <c r="B219" t="s">
        <v>425</v>
      </c>
      <c r="C219" t="str">
        <f t="shared" si="8"/>
        <v>Thursday-03-2023</v>
      </c>
      <c r="D219" t="s">
        <v>677</v>
      </c>
      <c r="E219" t="s">
        <v>28</v>
      </c>
      <c r="F219" t="s">
        <v>143</v>
      </c>
      <c r="G219" t="s">
        <v>30</v>
      </c>
      <c r="H219" t="s">
        <v>16</v>
      </c>
      <c r="I219" s="3">
        <v>3098</v>
      </c>
      <c r="J219" s="3">
        <v>619.74199999999996</v>
      </c>
      <c r="K219" t="s">
        <v>24</v>
      </c>
    </row>
    <row r="220" spans="1:11" x14ac:dyDescent="0.35">
      <c r="A220" t="s">
        <v>678</v>
      </c>
      <c r="B220" t="s">
        <v>679</v>
      </c>
      <c r="C220" t="str">
        <f t="shared" si="8"/>
        <v xml:space="preserve"> 16/12/2024</v>
      </c>
      <c r="D220" t="s">
        <v>680</v>
      </c>
      <c r="E220" t="s">
        <v>79</v>
      </c>
      <c r="F220" t="s">
        <v>22</v>
      </c>
      <c r="G220" t="s">
        <v>30</v>
      </c>
      <c r="H220" t="s">
        <v>41</v>
      </c>
      <c r="I220" s="3">
        <v>2499</v>
      </c>
      <c r="J220" s="3">
        <v>0</v>
      </c>
      <c r="K220" t="s">
        <v>24</v>
      </c>
    </row>
    <row r="221" spans="1:11" x14ac:dyDescent="0.35">
      <c r="A221" t="s">
        <v>681</v>
      </c>
      <c r="B221" t="s">
        <v>682</v>
      </c>
      <c r="C221" t="str">
        <f t="shared" si="8"/>
        <v xml:space="preserve"> 19 February 2024 03:20</v>
      </c>
      <c r="D221" t="s">
        <v>683</v>
      </c>
      <c r="E221" t="s">
        <v>28</v>
      </c>
      <c r="F221" t="s">
        <v>14</v>
      </c>
      <c r="G221" t="s">
        <v>15</v>
      </c>
      <c r="H221" t="s">
        <v>16</v>
      </c>
      <c r="I221" s="3">
        <v>2045</v>
      </c>
      <c r="J221" s="3">
        <v>0</v>
      </c>
      <c r="K221" t="s">
        <v>17</v>
      </c>
    </row>
    <row r="222" spans="1:11" x14ac:dyDescent="0.35">
      <c r="A222" t="s">
        <v>684</v>
      </c>
      <c r="B222" t="s">
        <v>685</v>
      </c>
      <c r="C222" t="str">
        <f t="shared" si="8"/>
        <v>Sunday-06-2023</v>
      </c>
      <c r="E222" t="s">
        <v>253</v>
      </c>
      <c r="F222" t="s">
        <v>29</v>
      </c>
      <c r="G222" t="s">
        <v>23</v>
      </c>
      <c r="H222" t="s">
        <v>16</v>
      </c>
      <c r="I222" s="3">
        <v>749</v>
      </c>
      <c r="J222" s="3">
        <v>0</v>
      </c>
      <c r="K222" t="s">
        <v>24</v>
      </c>
    </row>
    <row r="223" spans="1:11" x14ac:dyDescent="0.35">
      <c r="A223" t="s">
        <v>686</v>
      </c>
      <c r="B223" t="s">
        <v>687</v>
      </c>
      <c r="C223" t="str">
        <f t="shared" si="8"/>
        <v>Monday-10-2024</v>
      </c>
      <c r="D223" t="s">
        <v>688</v>
      </c>
      <c r="E223" t="s">
        <v>49</v>
      </c>
      <c r="F223" t="s">
        <v>22</v>
      </c>
      <c r="G223" t="s">
        <v>15</v>
      </c>
      <c r="H223" t="s">
        <v>31</v>
      </c>
      <c r="I223" s="3">
        <v>2101</v>
      </c>
      <c r="J223" s="3">
        <v>420.33000000000004</v>
      </c>
      <c r="K223" t="s">
        <v>17</v>
      </c>
    </row>
    <row r="224" spans="1:11" x14ac:dyDescent="0.35">
      <c r="A224" t="s">
        <v>689</v>
      </c>
      <c r="B224" t="s">
        <v>690</v>
      </c>
      <c r="C224" t="str">
        <f t="shared" si="8"/>
        <v xml:space="preserve"> 27-Aug-2023</v>
      </c>
      <c r="D224" t="s">
        <v>691</v>
      </c>
      <c r="E224" t="s">
        <v>28</v>
      </c>
      <c r="F224" t="s">
        <v>29</v>
      </c>
      <c r="G224" t="s">
        <v>23</v>
      </c>
      <c r="H224" t="s">
        <v>41</v>
      </c>
      <c r="I224" s="3">
        <v>2197</v>
      </c>
      <c r="J224" s="3">
        <v>439.54599999999999</v>
      </c>
      <c r="K224" t="s">
        <v>37</v>
      </c>
    </row>
    <row r="225" spans="1:11" x14ac:dyDescent="0.35">
      <c r="A225" t="s">
        <v>692</v>
      </c>
      <c r="B225" t="s">
        <v>693</v>
      </c>
      <c r="C225" t="str">
        <f t="shared" si="8"/>
        <v>Monday-01-2023</v>
      </c>
      <c r="D225" t="s">
        <v>261</v>
      </c>
      <c r="E225" t="s">
        <v>35</v>
      </c>
      <c r="F225" t="s">
        <v>36</v>
      </c>
      <c r="G225" t="s">
        <v>15</v>
      </c>
      <c r="H225" t="s">
        <v>41</v>
      </c>
      <c r="I225" s="3">
        <v>3104</v>
      </c>
      <c r="J225" s="3">
        <v>620.87799999999993</v>
      </c>
      <c r="K225" t="s">
        <v>17</v>
      </c>
    </row>
    <row r="226" spans="1:11" x14ac:dyDescent="0.35">
      <c r="A226" t="s">
        <v>694</v>
      </c>
      <c r="B226" t="s">
        <v>695</v>
      </c>
      <c r="C226" t="str">
        <f t="shared" si="8"/>
        <v>Wednesday-01-2023</v>
      </c>
      <c r="D226" t="s">
        <v>696</v>
      </c>
      <c r="E226" t="s">
        <v>28</v>
      </c>
      <c r="F226" t="s">
        <v>86</v>
      </c>
      <c r="G226" t="s">
        <v>15</v>
      </c>
      <c r="H226" t="s">
        <v>41</v>
      </c>
      <c r="I226" s="3">
        <v>4287</v>
      </c>
      <c r="J226" s="3">
        <v>214.35549999999998</v>
      </c>
      <c r="K226" t="s">
        <v>37</v>
      </c>
    </row>
    <row r="227" spans="1:11" x14ac:dyDescent="0.35">
      <c r="A227" t="s">
        <v>697</v>
      </c>
      <c r="B227" t="s">
        <v>698</v>
      </c>
      <c r="C227" t="str">
        <f t="shared" si="8"/>
        <v>Monday-12-2024</v>
      </c>
      <c r="E227" t="s">
        <v>53</v>
      </c>
      <c r="F227" t="s">
        <v>57</v>
      </c>
      <c r="G227" t="s">
        <v>15</v>
      </c>
      <c r="H227" t="s">
        <v>16</v>
      </c>
      <c r="I227" s="3">
        <v>522</v>
      </c>
      <c r="J227" s="3">
        <v>26.149000000000001</v>
      </c>
      <c r="K227" t="s">
        <v>37</v>
      </c>
    </row>
    <row r="228" spans="1:11" x14ac:dyDescent="0.35">
      <c r="A228" t="s">
        <v>699</v>
      </c>
      <c r="B228" t="s">
        <v>700</v>
      </c>
      <c r="C228" t="str">
        <f t="shared" si="8"/>
        <v>Wednesday-04-2023</v>
      </c>
      <c r="D228" t="s">
        <v>701</v>
      </c>
      <c r="E228" t="s">
        <v>28</v>
      </c>
      <c r="F228" t="s">
        <v>57</v>
      </c>
      <c r="G228" t="s">
        <v>30</v>
      </c>
      <c r="H228" t="s">
        <v>16</v>
      </c>
      <c r="I228" s="3">
        <v>3747</v>
      </c>
      <c r="J228" s="3">
        <v>249.80666666666667</v>
      </c>
      <c r="K228" t="s">
        <v>24</v>
      </c>
    </row>
    <row r="229" spans="1:11" x14ac:dyDescent="0.35">
      <c r="A229" t="s">
        <v>702</v>
      </c>
      <c r="B229" t="s">
        <v>703</v>
      </c>
      <c r="C229" t="str">
        <f t="shared" si="8"/>
        <v>Friday-11-2023</v>
      </c>
      <c r="D229" t="s">
        <v>704</v>
      </c>
      <c r="E229" t="s">
        <v>108</v>
      </c>
      <c r="F229" t="s">
        <v>14</v>
      </c>
      <c r="G229" t="s">
        <v>23</v>
      </c>
      <c r="H229" t="s">
        <v>41</v>
      </c>
      <c r="I229" s="3">
        <v>3676</v>
      </c>
      <c r="J229" s="3">
        <v>245.08599999999998</v>
      </c>
      <c r="K229" t="s">
        <v>17</v>
      </c>
    </row>
    <row r="230" spans="1:11" x14ac:dyDescent="0.35">
      <c r="A230" t="s">
        <v>705</v>
      </c>
      <c r="B230" t="s">
        <v>706</v>
      </c>
      <c r="C230" t="str">
        <f t="shared" si="8"/>
        <v>Thursday-02-2025</v>
      </c>
      <c r="D230" t="s">
        <v>707</v>
      </c>
      <c r="E230" t="s">
        <v>45</v>
      </c>
      <c r="F230" t="s">
        <v>29</v>
      </c>
      <c r="G230" t="s">
        <v>23</v>
      </c>
      <c r="H230" t="s">
        <v>41</v>
      </c>
      <c r="I230" s="3">
        <v>1671</v>
      </c>
      <c r="J230" s="3">
        <v>167.18800000000002</v>
      </c>
      <c r="K230" t="s">
        <v>24</v>
      </c>
    </row>
    <row r="231" spans="1:11" x14ac:dyDescent="0.35">
      <c r="A231" t="s">
        <v>708</v>
      </c>
      <c r="B231" t="s">
        <v>709</v>
      </c>
      <c r="C231" t="str">
        <f t="shared" si="8"/>
        <v>Saturday-04-2025</v>
      </c>
      <c r="D231" t="s">
        <v>710</v>
      </c>
      <c r="E231" t="s">
        <v>112</v>
      </c>
      <c r="F231" t="s">
        <v>36</v>
      </c>
      <c r="G231" t="s">
        <v>15</v>
      </c>
      <c r="H231" t="s">
        <v>41</v>
      </c>
      <c r="I231" s="3">
        <v>3542</v>
      </c>
      <c r="J231" s="3">
        <v>0</v>
      </c>
      <c r="K231" t="s">
        <v>24</v>
      </c>
    </row>
    <row r="232" spans="1:11" x14ac:dyDescent="0.35">
      <c r="A232" t="s">
        <v>711</v>
      </c>
      <c r="B232" t="s">
        <v>712</v>
      </c>
      <c r="C232" t="str">
        <f t="shared" si="8"/>
        <v>Thursday-08-2024</v>
      </c>
      <c r="D232" t="s">
        <v>713</v>
      </c>
      <c r="E232" t="s">
        <v>35</v>
      </c>
      <c r="F232" t="s">
        <v>57</v>
      </c>
      <c r="G232" t="s">
        <v>23</v>
      </c>
      <c r="H232" t="s">
        <v>31</v>
      </c>
      <c r="I232" s="3">
        <v>3698</v>
      </c>
      <c r="J232" s="3">
        <v>0</v>
      </c>
      <c r="K232" t="s">
        <v>37</v>
      </c>
    </row>
    <row r="233" spans="1:11" x14ac:dyDescent="0.35">
      <c r="A233" t="s">
        <v>714</v>
      </c>
      <c r="B233" t="s">
        <v>715</v>
      </c>
      <c r="C233" t="str">
        <f t="shared" si="8"/>
        <v>Monday-03-2023</v>
      </c>
      <c r="D233" t="s">
        <v>716</v>
      </c>
      <c r="E233" t="s">
        <v>49</v>
      </c>
      <c r="F233" t="s">
        <v>99</v>
      </c>
      <c r="G233" t="s">
        <v>15</v>
      </c>
      <c r="H233" t="s">
        <v>31</v>
      </c>
      <c r="I233" s="3">
        <v>1928</v>
      </c>
      <c r="J233" s="3">
        <v>385.68799999999999</v>
      </c>
      <c r="K233" t="s">
        <v>17</v>
      </c>
    </row>
    <row r="234" spans="1:11" x14ac:dyDescent="0.35">
      <c r="A234" t="s">
        <v>717</v>
      </c>
      <c r="B234" t="s">
        <v>718</v>
      </c>
      <c r="C234" t="str">
        <f t="shared" si="8"/>
        <v>Friday-09-2024</v>
      </c>
      <c r="D234" t="s">
        <v>719</v>
      </c>
      <c r="E234" t="s">
        <v>61</v>
      </c>
      <c r="F234" t="s">
        <v>22</v>
      </c>
      <c r="G234" t="s">
        <v>30</v>
      </c>
      <c r="H234" t="s">
        <v>16</v>
      </c>
      <c r="I234" s="3">
        <v>3474</v>
      </c>
      <c r="J234" s="3">
        <v>0</v>
      </c>
      <c r="K234" t="s">
        <v>37</v>
      </c>
    </row>
    <row r="235" spans="1:11" x14ac:dyDescent="0.35">
      <c r="A235" t="s">
        <v>720</v>
      </c>
      <c r="B235" t="s">
        <v>721</v>
      </c>
      <c r="C235" t="str">
        <f t="shared" si="8"/>
        <v xml:space="preserve"> 17 October 2023</v>
      </c>
      <c r="D235" t="s">
        <v>722</v>
      </c>
      <c r="E235" t="s">
        <v>13</v>
      </c>
      <c r="F235" t="s">
        <v>29</v>
      </c>
      <c r="G235" t="s">
        <v>30</v>
      </c>
      <c r="H235" t="s">
        <v>16</v>
      </c>
      <c r="I235" s="3">
        <v>1368</v>
      </c>
      <c r="J235" s="3">
        <v>273.72399999999999</v>
      </c>
      <c r="K235" t="s">
        <v>37</v>
      </c>
    </row>
    <row r="236" spans="1:11" x14ac:dyDescent="0.35">
      <c r="A236" t="s">
        <v>723</v>
      </c>
      <c r="B236" t="s">
        <v>724</v>
      </c>
      <c r="C236" t="str">
        <f t="shared" si="8"/>
        <v xml:space="preserve"> 2025-01-11 10:13</v>
      </c>
      <c r="D236" t="s">
        <v>725</v>
      </c>
      <c r="E236" t="s">
        <v>49</v>
      </c>
      <c r="F236" t="s">
        <v>14</v>
      </c>
      <c r="G236" t="s">
        <v>30</v>
      </c>
      <c r="H236" t="s">
        <v>41</v>
      </c>
      <c r="I236" s="3">
        <v>4224</v>
      </c>
      <c r="J236" s="3">
        <v>422.43500000000006</v>
      </c>
      <c r="K236" t="s">
        <v>37</v>
      </c>
    </row>
    <row r="237" spans="1:11" x14ac:dyDescent="0.35">
      <c r="A237" t="s">
        <v>726</v>
      </c>
      <c r="B237" t="s">
        <v>727</v>
      </c>
      <c r="C237" t="str">
        <f t="shared" si="8"/>
        <v>Saturday-01-2023</v>
      </c>
      <c r="D237" t="s">
        <v>728</v>
      </c>
      <c r="E237" t="s">
        <v>269</v>
      </c>
      <c r="F237" t="s">
        <v>14</v>
      </c>
      <c r="G237" t="s">
        <v>23</v>
      </c>
      <c r="H237" t="s">
        <v>31</v>
      </c>
      <c r="I237" s="3">
        <v>2685</v>
      </c>
      <c r="J237" s="3">
        <v>537.01599999999996</v>
      </c>
      <c r="K237" t="s">
        <v>37</v>
      </c>
    </row>
    <row r="238" spans="1:11" x14ac:dyDescent="0.35">
      <c r="A238" t="s">
        <v>729</v>
      </c>
      <c r="B238" t="s">
        <v>730</v>
      </c>
      <c r="C238" t="str">
        <f t="shared" si="8"/>
        <v>08-21-2024</v>
      </c>
      <c r="D238" t="s">
        <v>731</v>
      </c>
      <c r="E238" t="s">
        <v>49</v>
      </c>
      <c r="F238" t="s">
        <v>22</v>
      </c>
      <c r="G238" t="s">
        <v>15</v>
      </c>
      <c r="H238" t="s">
        <v>31</v>
      </c>
      <c r="I238" s="3">
        <v>804</v>
      </c>
      <c r="J238" s="3">
        <v>53.61933333333333</v>
      </c>
      <c r="K238" t="s">
        <v>24</v>
      </c>
    </row>
    <row r="239" spans="1:11" x14ac:dyDescent="0.35">
      <c r="A239" t="s">
        <v>732</v>
      </c>
      <c r="B239" t="s">
        <v>733</v>
      </c>
      <c r="C239" t="str">
        <f t="shared" si="8"/>
        <v>Thursday-03-2024</v>
      </c>
      <c r="D239" t="s">
        <v>734</v>
      </c>
      <c r="E239" t="s">
        <v>112</v>
      </c>
      <c r="F239" t="s">
        <v>143</v>
      </c>
      <c r="G239" t="s">
        <v>15</v>
      </c>
      <c r="H239" t="s">
        <v>16</v>
      </c>
      <c r="I239" s="3">
        <v>4593</v>
      </c>
      <c r="J239" s="3">
        <v>306.24866666666662</v>
      </c>
      <c r="K239" t="s">
        <v>24</v>
      </c>
    </row>
    <row r="240" spans="1:11" x14ac:dyDescent="0.35">
      <c r="A240" t="s">
        <v>735</v>
      </c>
      <c r="B240" t="s">
        <v>736</v>
      </c>
      <c r="C240" t="str">
        <f t="shared" si="8"/>
        <v>Sunday-06-2025</v>
      </c>
      <c r="D240" t="s">
        <v>737</v>
      </c>
      <c r="E240" t="s">
        <v>112</v>
      </c>
      <c r="F240" t="s">
        <v>86</v>
      </c>
      <c r="G240" t="s">
        <v>23</v>
      </c>
      <c r="H240" t="s">
        <v>16</v>
      </c>
      <c r="I240" s="3">
        <v>2296</v>
      </c>
      <c r="J240" s="3">
        <v>0</v>
      </c>
      <c r="K240" t="s">
        <v>37</v>
      </c>
    </row>
    <row r="241" spans="1:11" x14ac:dyDescent="0.35">
      <c r="A241" t="s">
        <v>738</v>
      </c>
      <c r="B241" t="s">
        <v>739</v>
      </c>
      <c r="C241" t="str">
        <f t="shared" si="8"/>
        <v>06-21-2024 00:58</v>
      </c>
      <c r="D241" t="s">
        <v>740</v>
      </c>
      <c r="E241" t="s">
        <v>253</v>
      </c>
      <c r="F241" t="s">
        <v>86</v>
      </c>
      <c r="G241" t="s">
        <v>30</v>
      </c>
      <c r="H241" t="s">
        <v>41</v>
      </c>
      <c r="I241" s="3">
        <v>1449</v>
      </c>
      <c r="J241" s="3">
        <v>144.90299999999999</v>
      </c>
      <c r="K241" t="s">
        <v>17</v>
      </c>
    </row>
    <row r="242" spans="1:11" x14ac:dyDescent="0.35">
      <c r="A242" t="s">
        <v>741</v>
      </c>
      <c r="B242" t="s">
        <v>742</v>
      </c>
      <c r="C242" t="str">
        <f t="shared" si="8"/>
        <v>Thursday-10-2023</v>
      </c>
      <c r="D242" t="s">
        <v>743</v>
      </c>
      <c r="E242" t="s">
        <v>103</v>
      </c>
      <c r="F242" t="s">
        <v>29</v>
      </c>
      <c r="G242" t="s">
        <v>23</v>
      </c>
      <c r="H242" t="s">
        <v>41</v>
      </c>
      <c r="I242" s="3">
        <v>2619</v>
      </c>
      <c r="J242" s="3">
        <v>261.91300000000001</v>
      </c>
      <c r="K242" t="s">
        <v>37</v>
      </c>
    </row>
    <row r="243" spans="1:11" x14ac:dyDescent="0.35">
      <c r="A243" t="s">
        <v>744</v>
      </c>
      <c r="C243" t="str">
        <f t="shared" si="8"/>
        <v>Saturday-01-1900</v>
      </c>
      <c r="D243" t="s">
        <v>745</v>
      </c>
      <c r="E243" t="s">
        <v>45</v>
      </c>
      <c r="F243" t="s">
        <v>36</v>
      </c>
      <c r="G243" t="s">
        <v>30</v>
      </c>
      <c r="H243" t="s">
        <v>41</v>
      </c>
      <c r="I243" s="3">
        <v>4952</v>
      </c>
      <c r="J243" s="3">
        <v>495.23199999999997</v>
      </c>
      <c r="K243" t="s">
        <v>24</v>
      </c>
    </row>
    <row r="244" spans="1:11" x14ac:dyDescent="0.35">
      <c r="A244" t="s">
        <v>746</v>
      </c>
      <c r="B244" t="s">
        <v>747</v>
      </c>
      <c r="C244" t="str">
        <f t="shared" si="8"/>
        <v>Friday-12-2023</v>
      </c>
      <c r="D244" t="s">
        <v>748</v>
      </c>
      <c r="E244" t="s">
        <v>103</v>
      </c>
      <c r="F244" t="s">
        <v>22</v>
      </c>
      <c r="G244" t="s">
        <v>15</v>
      </c>
      <c r="H244" t="s">
        <v>41</v>
      </c>
      <c r="I244" s="3">
        <v>3067</v>
      </c>
      <c r="J244" s="3">
        <v>613.51199999999994</v>
      </c>
      <c r="K244" t="s">
        <v>37</v>
      </c>
    </row>
    <row r="245" spans="1:11" x14ac:dyDescent="0.35">
      <c r="A245" t="s">
        <v>749</v>
      </c>
      <c r="B245" t="s">
        <v>750</v>
      </c>
      <c r="C245" t="str">
        <f t="shared" si="8"/>
        <v>Wednesday-06-2025</v>
      </c>
      <c r="D245" t="s">
        <v>751</v>
      </c>
      <c r="E245" t="s">
        <v>13</v>
      </c>
      <c r="F245" t="s">
        <v>99</v>
      </c>
      <c r="G245" t="s">
        <v>30</v>
      </c>
      <c r="H245" t="s">
        <v>16</v>
      </c>
      <c r="I245" s="3">
        <v>2405</v>
      </c>
      <c r="J245" s="3">
        <v>481.18799999999999</v>
      </c>
      <c r="K245" t="s">
        <v>17</v>
      </c>
    </row>
    <row r="246" spans="1:11" x14ac:dyDescent="0.35">
      <c r="A246" t="s">
        <v>752</v>
      </c>
      <c r="B246" t="s">
        <v>753</v>
      </c>
      <c r="C246" t="str">
        <f t="shared" si="8"/>
        <v>01-21-2023</v>
      </c>
      <c r="D246" t="s">
        <v>754</v>
      </c>
      <c r="E246" t="s">
        <v>375</v>
      </c>
      <c r="F246" t="s">
        <v>86</v>
      </c>
      <c r="G246" t="s">
        <v>15</v>
      </c>
      <c r="H246" t="s">
        <v>16</v>
      </c>
      <c r="I246" s="3">
        <v>4842</v>
      </c>
      <c r="J246" s="3">
        <v>322.82333333333338</v>
      </c>
      <c r="K246" t="s">
        <v>37</v>
      </c>
    </row>
    <row r="247" spans="1:11" x14ac:dyDescent="0.35">
      <c r="A247" t="s">
        <v>755</v>
      </c>
      <c r="B247" t="s">
        <v>756</v>
      </c>
      <c r="C247" t="str">
        <f t="shared" si="8"/>
        <v>Sunday-01-2023</v>
      </c>
      <c r="D247" t="s">
        <v>757</v>
      </c>
      <c r="E247" t="s">
        <v>112</v>
      </c>
      <c r="F247" t="s">
        <v>57</v>
      </c>
      <c r="G247" t="s">
        <v>30</v>
      </c>
      <c r="H247" t="s">
        <v>41</v>
      </c>
      <c r="I247" s="3">
        <v>1164</v>
      </c>
      <c r="J247" s="3">
        <v>232.92800000000003</v>
      </c>
      <c r="K247" t="s">
        <v>17</v>
      </c>
    </row>
    <row r="248" spans="1:11" x14ac:dyDescent="0.35">
      <c r="A248" t="s">
        <v>758</v>
      </c>
      <c r="B248" t="s">
        <v>759</v>
      </c>
      <c r="C248" t="str">
        <f t="shared" si="8"/>
        <v>Tuesday-01-2023</v>
      </c>
      <c r="D248" t="s">
        <v>760</v>
      </c>
      <c r="E248" t="s">
        <v>28</v>
      </c>
      <c r="F248" t="s">
        <v>57</v>
      </c>
      <c r="G248" t="s">
        <v>15</v>
      </c>
      <c r="H248" t="s">
        <v>31</v>
      </c>
      <c r="I248" s="3">
        <v>3336</v>
      </c>
      <c r="J248" s="3">
        <v>0</v>
      </c>
      <c r="K248" t="s">
        <v>24</v>
      </c>
    </row>
    <row r="249" spans="1:11" x14ac:dyDescent="0.35">
      <c r="A249" t="s">
        <v>761</v>
      </c>
      <c r="B249" t="s">
        <v>762</v>
      </c>
      <c r="C249" t="str">
        <f t="shared" si="8"/>
        <v>01-31-2024 16:56</v>
      </c>
      <c r="E249" t="s">
        <v>35</v>
      </c>
      <c r="F249" t="s">
        <v>22</v>
      </c>
      <c r="G249" t="s">
        <v>30</v>
      </c>
      <c r="H249" t="s">
        <v>16</v>
      </c>
      <c r="I249" s="3">
        <v>3119</v>
      </c>
      <c r="J249" s="3">
        <v>0</v>
      </c>
      <c r="K249" t="s">
        <v>24</v>
      </c>
    </row>
    <row r="250" spans="1:11" x14ac:dyDescent="0.35">
      <c r="A250" t="s">
        <v>763</v>
      </c>
      <c r="B250" t="s">
        <v>764</v>
      </c>
      <c r="C250" t="str">
        <f t="shared" si="8"/>
        <v>Tuesday-11-2024</v>
      </c>
      <c r="D250" t="s">
        <v>136</v>
      </c>
      <c r="E250" t="s">
        <v>45</v>
      </c>
      <c r="F250" t="s">
        <v>14</v>
      </c>
      <c r="G250" t="s">
        <v>30</v>
      </c>
      <c r="H250" t="s">
        <v>41</v>
      </c>
      <c r="I250" s="3">
        <v>514</v>
      </c>
      <c r="J250" s="3">
        <v>34.31733333333333</v>
      </c>
      <c r="K250" t="s">
        <v>17</v>
      </c>
    </row>
    <row r="251" spans="1:11" x14ac:dyDescent="0.35">
      <c r="A251" t="s">
        <v>765</v>
      </c>
      <c r="B251" t="s">
        <v>766</v>
      </c>
      <c r="C251" t="str">
        <f t="shared" si="8"/>
        <v>Thursday-01-2024</v>
      </c>
      <c r="D251" t="s">
        <v>767</v>
      </c>
      <c r="E251" t="s">
        <v>28</v>
      </c>
      <c r="F251" t="s">
        <v>29</v>
      </c>
      <c r="G251" t="s">
        <v>15</v>
      </c>
      <c r="H251" t="s">
        <v>41</v>
      </c>
      <c r="I251" s="3">
        <v>3712</v>
      </c>
      <c r="J251" s="3">
        <v>0</v>
      </c>
      <c r="K251" t="s">
        <v>37</v>
      </c>
    </row>
    <row r="252" spans="1:11" x14ac:dyDescent="0.35">
      <c r="A252" t="s">
        <v>768</v>
      </c>
      <c r="B252" t="s">
        <v>769</v>
      </c>
      <c r="C252" t="str">
        <f t="shared" si="8"/>
        <v>Thursday-01-2025</v>
      </c>
      <c r="D252" t="s">
        <v>770</v>
      </c>
      <c r="E252" t="s">
        <v>13</v>
      </c>
      <c r="F252" t="s">
        <v>14</v>
      </c>
      <c r="G252" t="s">
        <v>15</v>
      </c>
      <c r="H252" t="s">
        <v>31</v>
      </c>
      <c r="I252" s="3">
        <v>2422</v>
      </c>
      <c r="J252" s="3">
        <v>484.43199999999996</v>
      </c>
      <c r="K252" t="s">
        <v>37</v>
      </c>
    </row>
    <row r="253" spans="1:11" x14ac:dyDescent="0.35">
      <c r="A253" t="s">
        <v>771</v>
      </c>
      <c r="B253" t="s">
        <v>772</v>
      </c>
      <c r="C253" t="str">
        <f t="shared" si="8"/>
        <v>Tuesday-04-2024</v>
      </c>
      <c r="D253" t="s">
        <v>773</v>
      </c>
      <c r="E253" t="s">
        <v>13</v>
      </c>
      <c r="F253" t="s">
        <v>36</v>
      </c>
      <c r="G253" t="s">
        <v>15</v>
      </c>
      <c r="H253" t="s">
        <v>31</v>
      </c>
      <c r="I253" s="3">
        <v>3879</v>
      </c>
      <c r="J253" s="3">
        <v>258.64133333333331</v>
      </c>
      <c r="K253" t="s">
        <v>37</v>
      </c>
    </row>
    <row r="254" spans="1:11" x14ac:dyDescent="0.35">
      <c r="A254" t="s">
        <v>774</v>
      </c>
      <c r="B254" t="s">
        <v>775</v>
      </c>
      <c r="C254" t="str">
        <f t="shared" si="8"/>
        <v>Friday-12-2024</v>
      </c>
      <c r="D254" t="s">
        <v>776</v>
      </c>
      <c r="E254" t="s">
        <v>13</v>
      </c>
      <c r="F254" t="s">
        <v>86</v>
      </c>
      <c r="G254" t="s">
        <v>23</v>
      </c>
      <c r="H254" t="s">
        <v>41</v>
      </c>
      <c r="I254" s="3">
        <v>3287</v>
      </c>
      <c r="J254" s="3">
        <v>328.74799999999999</v>
      </c>
      <c r="K254" t="s">
        <v>17</v>
      </c>
    </row>
    <row r="255" spans="1:11" x14ac:dyDescent="0.35">
      <c r="A255" t="s">
        <v>777</v>
      </c>
      <c r="B255" t="s">
        <v>778</v>
      </c>
      <c r="C255" t="str">
        <f t="shared" si="8"/>
        <v>Tuesday-02-2024</v>
      </c>
      <c r="D255" t="s">
        <v>779</v>
      </c>
      <c r="E255" t="s">
        <v>375</v>
      </c>
      <c r="F255" t="s">
        <v>22</v>
      </c>
      <c r="G255" t="s">
        <v>23</v>
      </c>
      <c r="H255" t="s">
        <v>31</v>
      </c>
      <c r="I255" s="3">
        <v>1027</v>
      </c>
      <c r="J255" s="3">
        <v>205.43800000000002</v>
      </c>
      <c r="K255" t="s">
        <v>17</v>
      </c>
    </row>
    <row r="256" spans="1:11" x14ac:dyDescent="0.35">
      <c r="A256" t="s">
        <v>780</v>
      </c>
      <c r="B256" t="s">
        <v>781</v>
      </c>
      <c r="C256" t="str">
        <f t="shared" si="8"/>
        <v>Monday-02-2025</v>
      </c>
      <c r="D256" t="s">
        <v>782</v>
      </c>
      <c r="E256" t="s">
        <v>253</v>
      </c>
      <c r="F256" t="s">
        <v>36</v>
      </c>
      <c r="G256" t="s">
        <v>15</v>
      </c>
      <c r="H256" t="s">
        <v>31</v>
      </c>
      <c r="I256" s="3">
        <v>3991</v>
      </c>
      <c r="J256" s="3">
        <v>266.08533333333332</v>
      </c>
      <c r="K256" t="s">
        <v>17</v>
      </c>
    </row>
    <row r="257" spans="1:11" x14ac:dyDescent="0.35">
      <c r="A257" t="s">
        <v>783</v>
      </c>
      <c r="B257" t="s">
        <v>784</v>
      </c>
      <c r="C257" t="str">
        <f t="shared" si="8"/>
        <v>Thursday-07-2025</v>
      </c>
      <c r="D257" t="s">
        <v>785</v>
      </c>
      <c r="E257" t="s">
        <v>13</v>
      </c>
      <c r="F257" t="s">
        <v>99</v>
      </c>
      <c r="G257" t="s">
        <v>30</v>
      </c>
      <c r="H257" t="s">
        <v>41</v>
      </c>
      <c r="I257" s="3">
        <v>4250</v>
      </c>
      <c r="J257" s="3">
        <v>850.09199999999998</v>
      </c>
      <c r="K257" t="s">
        <v>17</v>
      </c>
    </row>
    <row r="258" spans="1:11" x14ac:dyDescent="0.35">
      <c r="A258" t="s">
        <v>786</v>
      </c>
      <c r="B258" t="s">
        <v>787</v>
      </c>
      <c r="C258" t="str">
        <f t="shared" si="8"/>
        <v>Friday-10-2023</v>
      </c>
      <c r="D258" t="s">
        <v>532</v>
      </c>
      <c r="E258" t="s">
        <v>49</v>
      </c>
      <c r="F258" t="s">
        <v>57</v>
      </c>
      <c r="G258" t="s">
        <v>30</v>
      </c>
      <c r="H258" t="s">
        <v>31</v>
      </c>
      <c r="I258" s="3">
        <v>4843</v>
      </c>
      <c r="J258" s="3">
        <v>484.39700000000005</v>
      </c>
      <c r="K258" t="s">
        <v>24</v>
      </c>
    </row>
    <row r="259" spans="1:11" x14ac:dyDescent="0.35">
      <c r="A259" t="s">
        <v>788</v>
      </c>
      <c r="B259" t="s">
        <v>789</v>
      </c>
      <c r="C259" t="str">
        <f t="shared" ref="C259:C322" si="9">TEXT(B259,"dddd-mm-yyyy")</f>
        <v>01-19-2023</v>
      </c>
      <c r="D259" t="s">
        <v>790</v>
      </c>
      <c r="E259" t="s">
        <v>112</v>
      </c>
      <c r="F259" t="s">
        <v>66</v>
      </c>
      <c r="G259" t="s">
        <v>23</v>
      </c>
      <c r="H259" t="s">
        <v>41</v>
      </c>
      <c r="I259" s="3">
        <v>2662</v>
      </c>
      <c r="J259" s="3">
        <v>266.20799999999997</v>
      </c>
      <c r="K259" t="s">
        <v>17</v>
      </c>
    </row>
    <row r="260" spans="1:11" x14ac:dyDescent="0.35">
      <c r="A260" t="s">
        <v>791</v>
      </c>
      <c r="B260" t="s">
        <v>792</v>
      </c>
      <c r="C260" t="str">
        <f t="shared" si="9"/>
        <v>Wednesday-07-2023</v>
      </c>
      <c r="D260" t="s">
        <v>793</v>
      </c>
      <c r="E260" t="s">
        <v>35</v>
      </c>
      <c r="F260" t="s">
        <v>36</v>
      </c>
      <c r="G260" t="s">
        <v>23</v>
      </c>
      <c r="H260" t="s">
        <v>41</v>
      </c>
      <c r="I260" s="3">
        <v>2896</v>
      </c>
      <c r="J260" s="3">
        <v>0</v>
      </c>
      <c r="K260" t="s">
        <v>37</v>
      </c>
    </row>
    <row r="261" spans="1:11" x14ac:dyDescent="0.35">
      <c r="A261" t="s">
        <v>794</v>
      </c>
      <c r="B261" t="s">
        <v>795</v>
      </c>
      <c r="C261" t="str">
        <f t="shared" si="9"/>
        <v>Sunday-04-2025</v>
      </c>
      <c r="D261" t="s">
        <v>796</v>
      </c>
      <c r="E261" t="s">
        <v>253</v>
      </c>
      <c r="F261" t="s">
        <v>36</v>
      </c>
      <c r="G261" t="s">
        <v>23</v>
      </c>
      <c r="H261" t="s">
        <v>41</v>
      </c>
      <c r="I261" s="3">
        <v>2811</v>
      </c>
      <c r="J261" s="3">
        <v>140.56199999999998</v>
      </c>
      <c r="K261" t="s">
        <v>37</v>
      </c>
    </row>
    <row r="262" spans="1:11" x14ac:dyDescent="0.35">
      <c r="A262" t="s">
        <v>797</v>
      </c>
      <c r="B262" t="s">
        <v>798</v>
      </c>
      <c r="C262" t="str">
        <f t="shared" si="9"/>
        <v>06-14-2023</v>
      </c>
      <c r="D262" t="s">
        <v>799</v>
      </c>
      <c r="E262" t="s">
        <v>35</v>
      </c>
      <c r="F262" t="s">
        <v>14</v>
      </c>
      <c r="G262" t="s">
        <v>23</v>
      </c>
      <c r="H262" t="s">
        <v>16</v>
      </c>
      <c r="I262" s="3">
        <v>804</v>
      </c>
      <c r="J262" s="3">
        <v>160.804</v>
      </c>
      <c r="K262" t="s">
        <v>17</v>
      </c>
    </row>
    <row r="263" spans="1:11" x14ac:dyDescent="0.35">
      <c r="A263" t="s">
        <v>800</v>
      </c>
      <c r="B263" t="s">
        <v>801</v>
      </c>
      <c r="C263" t="str">
        <f t="shared" si="9"/>
        <v>Monday-03-2023</v>
      </c>
      <c r="D263" t="s">
        <v>802</v>
      </c>
      <c r="E263" t="s">
        <v>112</v>
      </c>
      <c r="F263" t="s">
        <v>14</v>
      </c>
      <c r="G263" t="s">
        <v>23</v>
      </c>
      <c r="H263" t="s">
        <v>41</v>
      </c>
      <c r="I263" s="3">
        <v>3218</v>
      </c>
      <c r="J263" s="3">
        <v>321.84299999999996</v>
      </c>
      <c r="K263" t="s">
        <v>24</v>
      </c>
    </row>
    <row r="264" spans="1:11" x14ac:dyDescent="0.35">
      <c r="A264" t="s">
        <v>803</v>
      </c>
      <c r="B264" t="s">
        <v>804</v>
      </c>
      <c r="C264" t="str">
        <f t="shared" si="9"/>
        <v>Tuesday-05-2023</v>
      </c>
      <c r="D264" t="s">
        <v>805</v>
      </c>
      <c r="E264" t="s">
        <v>103</v>
      </c>
      <c r="F264" t="s">
        <v>86</v>
      </c>
      <c r="G264" t="s">
        <v>15</v>
      </c>
      <c r="H264" t="s">
        <v>31</v>
      </c>
      <c r="I264" s="3">
        <v>1507</v>
      </c>
      <c r="J264" s="3">
        <v>100.47666666666667</v>
      </c>
      <c r="K264" t="s">
        <v>24</v>
      </c>
    </row>
    <row r="265" spans="1:11" x14ac:dyDescent="0.35">
      <c r="A265" t="s">
        <v>806</v>
      </c>
      <c r="B265" t="s">
        <v>807</v>
      </c>
      <c r="C265" t="str">
        <f t="shared" si="9"/>
        <v>Friday-08-2024</v>
      </c>
      <c r="D265" t="s">
        <v>808</v>
      </c>
      <c r="E265" t="s">
        <v>28</v>
      </c>
      <c r="F265" t="s">
        <v>29</v>
      </c>
      <c r="G265" t="s">
        <v>15</v>
      </c>
      <c r="H265" t="s">
        <v>41</v>
      </c>
      <c r="I265" s="3">
        <v>4886</v>
      </c>
      <c r="J265" s="3">
        <v>488.65100000000001</v>
      </c>
      <c r="K265" t="s">
        <v>37</v>
      </c>
    </row>
    <row r="266" spans="1:11" x14ac:dyDescent="0.35">
      <c r="A266" t="s">
        <v>809</v>
      </c>
      <c r="B266" t="s">
        <v>810</v>
      </c>
      <c r="C266" t="str">
        <f t="shared" si="9"/>
        <v>Tuesday-10-2024</v>
      </c>
      <c r="D266" t="s">
        <v>811</v>
      </c>
      <c r="E266" t="s">
        <v>112</v>
      </c>
      <c r="F266" t="s">
        <v>86</v>
      </c>
      <c r="G266" t="s">
        <v>23</v>
      </c>
      <c r="H266" t="s">
        <v>31</v>
      </c>
      <c r="I266" s="3">
        <v>1464</v>
      </c>
      <c r="J266" s="3">
        <v>0</v>
      </c>
      <c r="K266" t="s">
        <v>24</v>
      </c>
    </row>
    <row r="267" spans="1:11" x14ac:dyDescent="0.35">
      <c r="A267" t="s">
        <v>812</v>
      </c>
      <c r="B267" t="s">
        <v>813</v>
      </c>
      <c r="C267" t="str">
        <f t="shared" si="9"/>
        <v>Tuesday-01-2023</v>
      </c>
      <c r="D267" t="s">
        <v>814</v>
      </c>
      <c r="E267" t="s">
        <v>28</v>
      </c>
      <c r="F267" t="s">
        <v>29</v>
      </c>
      <c r="G267" t="s">
        <v>15</v>
      </c>
      <c r="H267" t="s">
        <v>16</v>
      </c>
      <c r="I267" s="3">
        <v>1610</v>
      </c>
      <c r="J267" s="3">
        <v>80.527999999999992</v>
      </c>
      <c r="K267" t="s">
        <v>24</v>
      </c>
    </row>
    <row r="268" spans="1:11" x14ac:dyDescent="0.35">
      <c r="A268" t="s">
        <v>815</v>
      </c>
      <c r="B268" t="s">
        <v>816</v>
      </c>
      <c r="C268" t="str">
        <f t="shared" si="9"/>
        <v xml:space="preserve"> 26-Nov-2023</v>
      </c>
      <c r="D268" t="s">
        <v>817</v>
      </c>
      <c r="E268" t="s">
        <v>253</v>
      </c>
      <c r="F268" t="s">
        <v>86</v>
      </c>
      <c r="G268" t="s">
        <v>15</v>
      </c>
      <c r="H268" t="s">
        <v>31</v>
      </c>
      <c r="I268" s="3">
        <v>2208</v>
      </c>
      <c r="J268" s="3">
        <v>441.60600000000005</v>
      </c>
      <c r="K268" t="s">
        <v>24</v>
      </c>
    </row>
    <row r="269" spans="1:11" x14ac:dyDescent="0.35">
      <c r="A269" t="s">
        <v>818</v>
      </c>
      <c r="B269" t="s">
        <v>819</v>
      </c>
      <c r="C269" t="str">
        <f t="shared" si="9"/>
        <v>Saturday-05-2023</v>
      </c>
      <c r="D269" t="s">
        <v>820</v>
      </c>
      <c r="E269" t="s">
        <v>45</v>
      </c>
      <c r="F269" t="s">
        <v>14</v>
      </c>
      <c r="G269" t="s">
        <v>15</v>
      </c>
      <c r="H269" t="s">
        <v>41</v>
      </c>
      <c r="I269" s="3">
        <v>1887</v>
      </c>
      <c r="J269" s="3">
        <v>377.584</v>
      </c>
      <c r="K269" t="s">
        <v>24</v>
      </c>
    </row>
    <row r="270" spans="1:11" x14ac:dyDescent="0.35">
      <c r="A270" t="s">
        <v>821</v>
      </c>
      <c r="B270" t="s">
        <v>822</v>
      </c>
      <c r="C270" t="str">
        <f t="shared" si="9"/>
        <v>Tuesday-11-2024</v>
      </c>
      <c r="D270" t="s">
        <v>823</v>
      </c>
      <c r="E270" t="s">
        <v>13</v>
      </c>
      <c r="F270" t="s">
        <v>14</v>
      </c>
      <c r="G270" t="s">
        <v>15</v>
      </c>
      <c r="H270" t="s">
        <v>31</v>
      </c>
      <c r="I270" s="3">
        <v>874</v>
      </c>
      <c r="J270" s="3">
        <v>174.83599999999998</v>
      </c>
      <c r="K270" t="s">
        <v>17</v>
      </c>
    </row>
    <row r="271" spans="1:11" x14ac:dyDescent="0.35">
      <c r="A271" t="s">
        <v>824</v>
      </c>
      <c r="B271" t="s">
        <v>825</v>
      </c>
      <c r="C271" t="str">
        <f t="shared" si="9"/>
        <v>Thursday-08-2023</v>
      </c>
      <c r="D271" t="s">
        <v>826</v>
      </c>
      <c r="E271" t="s">
        <v>13</v>
      </c>
      <c r="F271" t="s">
        <v>86</v>
      </c>
      <c r="G271" t="s">
        <v>23</v>
      </c>
      <c r="H271" t="s">
        <v>31</v>
      </c>
      <c r="I271" s="3">
        <v>3499</v>
      </c>
      <c r="J271" s="3">
        <v>699.94399999999996</v>
      </c>
      <c r="K271" t="s">
        <v>24</v>
      </c>
    </row>
    <row r="272" spans="1:11" x14ac:dyDescent="0.35">
      <c r="A272" t="s">
        <v>827</v>
      </c>
      <c r="B272" t="s">
        <v>828</v>
      </c>
      <c r="C272" t="str">
        <f t="shared" si="9"/>
        <v>Wednesday-09-2023</v>
      </c>
      <c r="D272" t="s">
        <v>829</v>
      </c>
      <c r="E272" t="s">
        <v>35</v>
      </c>
      <c r="F272" t="s">
        <v>14</v>
      </c>
      <c r="G272" t="s">
        <v>30</v>
      </c>
      <c r="H272" t="s">
        <v>41</v>
      </c>
      <c r="I272" s="3">
        <v>4639</v>
      </c>
      <c r="J272" s="3">
        <v>0</v>
      </c>
      <c r="K272" t="s">
        <v>17</v>
      </c>
    </row>
    <row r="273" spans="1:11" x14ac:dyDescent="0.35">
      <c r="A273" t="s">
        <v>830</v>
      </c>
      <c r="B273" t="s">
        <v>831</v>
      </c>
      <c r="C273" t="str">
        <f t="shared" si="9"/>
        <v>Sunday-04-2023</v>
      </c>
      <c r="D273" t="s">
        <v>832</v>
      </c>
      <c r="E273" t="s">
        <v>375</v>
      </c>
      <c r="F273" t="s">
        <v>22</v>
      </c>
      <c r="G273" t="s">
        <v>15</v>
      </c>
      <c r="H273" t="s">
        <v>16</v>
      </c>
      <c r="I273" s="3">
        <v>1828</v>
      </c>
      <c r="J273" s="3">
        <v>0</v>
      </c>
      <c r="K273" t="s">
        <v>37</v>
      </c>
    </row>
    <row r="274" spans="1:11" x14ac:dyDescent="0.35">
      <c r="A274" t="s">
        <v>833</v>
      </c>
      <c r="B274" t="s">
        <v>834</v>
      </c>
      <c r="C274" t="str">
        <f t="shared" si="9"/>
        <v>Tuesday-03-2024</v>
      </c>
      <c r="D274" t="s">
        <v>835</v>
      </c>
      <c r="E274" t="s">
        <v>28</v>
      </c>
      <c r="F274" t="s">
        <v>62</v>
      </c>
      <c r="G274" t="s">
        <v>30</v>
      </c>
      <c r="H274" t="s">
        <v>16</v>
      </c>
      <c r="I274" s="3">
        <v>895</v>
      </c>
      <c r="J274" s="3">
        <v>0</v>
      </c>
      <c r="K274" t="s">
        <v>24</v>
      </c>
    </row>
    <row r="275" spans="1:11" x14ac:dyDescent="0.35">
      <c r="A275" t="s">
        <v>836</v>
      </c>
      <c r="B275" t="s">
        <v>837</v>
      </c>
      <c r="C275" t="str">
        <f t="shared" si="9"/>
        <v>Saturday-07-2023</v>
      </c>
      <c r="D275" t="s">
        <v>838</v>
      </c>
      <c r="E275" t="s">
        <v>103</v>
      </c>
      <c r="F275" t="s">
        <v>62</v>
      </c>
      <c r="G275" t="s">
        <v>23</v>
      </c>
      <c r="H275" t="s">
        <v>16</v>
      </c>
      <c r="I275" s="3">
        <v>3608</v>
      </c>
      <c r="J275" s="3">
        <v>180.40450000000001</v>
      </c>
      <c r="K275" t="s">
        <v>24</v>
      </c>
    </row>
    <row r="276" spans="1:11" x14ac:dyDescent="0.35">
      <c r="A276" t="s">
        <v>839</v>
      </c>
      <c r="B276" t="s">
        <v>840</v>
      </c>
      <c r="C276" t="str">
        <f t="shared" si="9"/>
        <v>Sunday-03-2024</v>
      </c>
      <c r="D276" t="s">
        <v>841</v>
      </c>
      <c r="E276" t="s">
        <v>45</v>
      </c>
      <c r="F276" t="s">
        <v>22</v>
      </c>
      <c r="G276" t="s">
        <v>30</v>
      </c>
      <c r="H276" t="s">
        <v>31</v>
      </c>
      <c r="I276" s="3">
        <v>3574</v>
      </c>
      <c r="J276" s="3">
        <v>238.31466666666665</v>
      </c>
      <c r="K276" t="s">
        <v>37</v>
      </c>
    </row>
    <row r="277" spans="1:11" x14ac:dyDescent="0.35">
      <c r="A277" t="s">
        <v>842</v>
      </c>
      <c r="B277" t="s">
        <v>843</v>
      </c>
      <c r="C277" t="str">
        <f t="shared" si="9"/>
        <v>Sunday-04-2024</v>
      </c>
      <c r="D277" t="s">
        <v>844</v>
      </c>
      <c r="E277" t="s">
        <v>53</v>
      </c>
      <c r="F277" t="s">
        <v>22</v>
      </c>
      <c r="G277" t="s">
        <v>15</v>
      </c>
      <c r="H277" t="s">
        <v>31</v>
      </c>
      <c r="I277" s="3">
        <v>4183</v>
      </c>
      <c r="J277" s="3">
        <v>836.7059999999999</v>
      </c>
      <c r="K277" t="s">
        <v>37</v>
      </c>
    </row>
    <row r="278" spans="1:11" x14ac:dyDescent="0.35">
      <c r="A278" t="s">
        <v>845</v>
      </c>
      <c r="B278" t="s">
        <v>846</v>
      </c>
      <c r="C278" t="str">
        <f t="shared" si="9"/>
        <v>Tuesday-10-2024</v>
      </c>
      <c r="D278" t="s">
        <v>847</v>
      </c>
      <c r="E278" t="s">
        <v>28</v>
      </c>
      <c r="F278" t="s">
        <v>29</v>
      </c>
      <c r="G278" t="s">
        <v>23</v>
      </c>
      <c r="H278" t="s">
        <v>41</v>
      </c>
      <c r="I278" s="3">
        <v>1615</v>
      </c>
      <c r="J278" s="3">
        <v>80.787499999999994</v>
      </c>
      <c r="K278" t="s">
        <v>17</v>
      </c>
    </row>
    <row r="279" spans="1:11" x14ac:dyDescent="0.35">
      <c r="A279" t="s">
        <v>848</v>
      </c>
      <c r="B279" t="s">
        <v>849</v>
      </c>
      <c r="C279" t="str">
        <f t="shared" si="9"/>
        <v>11-20-2024</v>
      </c>
      <c r="D279" t="s">
        <v>850</v>
      </c>
      <c r="E279" t="s">
        <v>13</v>
      </c>
      <c r="F279" t="s">
        <v>86</v>
      </c>
      <c r="G279" t="s">
        <v>23</v>
      </c>
      <c r="H279" t="s">
        <v>16</v>
      </c>
      <c r="I279" s="3">
        <v>4439</v>
      </c>
      <c r="J279" s="3">
        <v>443.92899999999997</v>
      </c>
      <c r="K279" t="s">
        <v>24</v>
      </c>
    </row>
    <row r="280" spans="1:11" x14ac:dyDescent="0.35">
      <c r="A280" t="s">
        <v>851</v>
      </c>
      <c r="B280" t="s">
        <v>852</v>
      </c>
      <c r="C280" t="str">
        <f t="shared" si="9"/>
        <v>01-18-2025</v>
      </c>
      <c r="D280" t="s">
        <v>853</v>
      </c>
      <c r="E280" t="s">
        <v>375</v>
      </c>
      <c r="F280" t="s">
        <v>86</v>
      </c>
      <c r="G280" t="s">
        <v>15</v>
      </c>
      <c r="H280" t="s">
        <v>16</v>
      </c>
      <c r="I280" s="3">
        <v>739</v>
      </c>
      <c r="J280" s="3">
        <v>73.924999999999997</v>
      </c>
      <c r="K280" t="s">
        <v>37</v>
      </c>
    </row>
    <row r="281" spans="1:11" x14ac:dyDescent="0.35">
      <c r="A281" t="s">
        <v>854</v>
      </c>
      <c r="B281" t="s">
        <v>855</v>
      </c>
      <c r="C281" t="str">
        <f t="shared" si="9"/>
        <v>Tuesday-01-2024</v>
      </c>
      <c r="D281" t="s">
        <v>856</v>
      </c>
      <c r="E281" t="s">
        <v>269</v>
      </c>
      <c r="F281" t="s">
        <v>29</v>
      </c>
      <c r="G281" t="s">
        <v>15</v>
      </c>
      <c r="H281" t="s">
        <v>16</v>
      </c>
      <c r="I281" s="3">
        <v>1584</v>
      </c>
      <c r="J281" s="3">
        <v>316.85599999999999</v>
      </c>
      <c r="K281" t="s">
        <v>24</v>
      </c>
    </row>
    <row r="282" spans="1:11" x14ac:dyDescent="0.35">
      <c r="A282" t="s">
        <v>857</v>
      </c>
      <c r="B282" t="s">
        <v>858</v>
      </c>
      <c r="C282" t="str">
        <f t="shared" si="9"/>
        <v xml:space="preserve"> 08-Sep-2023 16:03</v>
      </c>
      <c r="D282" t="s">
        <v>859</v>
      </c>
      <c r="E282" t="s">
        <v>28</v>
      </c>
      <c r="F282" t="s">
        <v>86</v>
      </c>
      <c r="G282" t="s">
        <v>15</v>
      </c>
      <c r="H282" t="s">
        <v>16</v>
      </c>
      <c r="I282" s="3">
        <v>4746</v>
      </c>
      <c r="J282" s="3">
        <v>316.4133333333333</v>
      </c>
      <c r="K282" t="s">
        <v>37</v>
      </c>
    </row>
    <row r="283" spans="1:11" x14ac:dyDescent="0.35">
      <c r="A283" t="s">
        <v>860</v>
      </c>
      <c r="B283" t="s">
        <v>861</v>
      </c>
      <c r="C283" t="str">
        <f t="shared" si="9"/>
        <v>Tuesday-03-2024</v>
      </c>
      <c r="D283" t="s">
        <v>862</v>
      </c>
      <c r="E283" t="s">
        <v>375</v>
      </c>
      <c r="F283" t="s">
        <v>14</v>
      </c>
      <c r="G283" t="s">
        <v>15</v>
      </c>
      <c r="H283" t="s">
        <v>31</v>
      </c>
      <c r="I283" s="3">
        <v>3910</v>
      </c>
      <c r="J283" s="3">
        <v>782.15800000000002</v>
      </c>
      <c r="K283" t="s">
        <v>24</v>
      </c>
    </row>
    <row r="284" spans="1:11" x14ac:dyDescent="0.35">
      <c r="A284" t="s">
        <v>863</v>
      </c>
      <c r="B284" t="s">
        <v>864</v>
      </c>
      <c r="C284" t="str">
        <f t="shared" si="9"/>
        <v>Tuesday-01-2023</v>
      </c>
      <c r="D284" t="s">
        <v>865</v>
      </c>
      <c r="E284" t="s">
        <v>49</v>
      </c>
      <c r="F284" t="s">
        <v>66</v>
      </c>
      <c r="G284" t="s">
        <v>15</v>
      </c>
      <c r="H284" t="s">
        <v>41</v>
      </c>
      <c r="I284" s="3">
        <v>978</v>
      </c>
      <c r="J284" s="3">
        <v>0</v>
      </c>
      <c r="K284" t="s">
        <v>17</v>
      </c>
    </row>
    <row r="285" spans="1:11" x14ac:dyDescent="0.35">
      <c r="A285" t="s">
        <v>866</v>
      </c>
      <c r="B285" t="s">
        <v>867</v>
      </c>
      <c r="C285" t="str">
        <f t="shared" si="9"/>
        <v>Saturday-05-2024</v>
      </c>
      <c r="D285" t="s">
        <v>868</v>
      </c>
      <c r="E285" t="s">
        <v>112</v>
      </c>
      <c r="F285" t="s">
        <v>29</v>
      </c>
      <c r="G285" t="s">
        <v>23</v>
      </c>
      <c r="H285" t="s">
        <v>16</v>
      </c>
      <c r="I285" s="3">
        <v>2302</v>
      </c>
      <c r="J285" s="3">
        <v>460.45600000000002</v>
      </c>
      <c r="K285" t="s">
        <v>37</v>
      </c>
    </row>
    <row r="286" spans="1:11" x14ac:dyDescent="0.35">
      <c r="A286" t="s">
        <v>869</v>
      </c>
      <c r="B286" t="s">
        <v>870</v>
      </c>
      <c r="C286" t="str">
        <f t="shared" si="9"/>
        <v>Sunday-11-2024</v>
      </c>
      <c r="D286" t="s">
        <v>871</v>
      </c>
      <c r="E286" t="s">
        <v>79</v>
      </c>
      <c r="F286" t="s">
        <v>86</v>
      </c>
      <c r="G286" t="s">
        <v>23</v>
      </c>
      <c r="H286" t="s">
        <v>16</v>
      </c>
      <c r="I286" s="3">
        <v>3223</v>
      </c>
      <c r="J286" s="3">
        <v>0</v>
      </c>
      <c r="K286" t="s">
        <v>37</v>
      </c>
    </row>
    <row r="287" spans="1:11" x14ac:dyDescent="0.35">
      <c r="A287" t="s">
        <v>872</v>
      </c>
      <c r="B287" t="s">
        <v>873</v>
      </c>
      <c r="C287" t="str">
        <f t="shared" si="9"/>
        <v>Friday-03-2024</v>
      </c>
      <c r="D287" t="s">
        <v>874</v>
      </c>
      <c r="E287" t="s">
        <v>45</v>
      </c>
      <c r="F287" t="s">
        <v>36</v>
      </c>
      <c r="G287" t="s">
        <v>15</v>
      </c>
      <c r="H287" t="s">
        <v>41</v>
      </c>
      <c r="I287" s="3">
        <v>3938</v>
      </c>
      <c r="J287" s="3">
        <v>393.87299999999999</v>
      </c>
      <c r="K287" t="s">
        <v>17</v>
      </c>
    </row>
    <row r="288" spans="1:11" x14ac:dyDescent="0.35">
      <c r="A288" t="s">
        <v>875</v>
      </c>
      <c r="B288" t="s">
        <v>876</v>
      </c>
      <c r="C288" t="str">
        <f t="shared" si="9"/>
        <v>Monday-10-2023</v>
      </c>
      <c r="D288" t="s">
        <v>877</v>
      </c>
      <c r="E288" t="s">
        <v>112</v>
      </c>
      <c r="F288" t="s">
        <v>22</v>
      </c>
      <c r="G288" t="s">
        <v>15</v>
      </c>
      <c r="H288" t="s">
        <v>31</v>
      </c>
      <c r="I288" s="3">
        <v>562</v>
      </c>
      <c r="J288" s="3">
        <v>112.494</v>
      </c>
      <c r="K288" t="s">
        <v>17</v>
      </c>
    </row>
    <row r="289" spans="1:11" x14ac:dyDescent="0.35">
      <c r="A289" t="s">
        <v>878</v>
      </c>
      <c r="B289" t="s">
        <v>879</v>
      </c>
      <c r="C289" t="str">
        <f t="shared" si="9"/>
        <v>Wednesday-03-2024</v>
      </c>
      <c r="D289" t="s">
        <v>880</v>
      </c>
      <c r="E289" t="s">
        <v>108</v>
      </c>
      <c r="F289" t="s">
        <v>14</v>
      </c>
      <c r="G289" t="s">
        <v>23</v>
      </c>
      <c r="H289" t="s">
        <v>31</v>
      </c>
      <c r="I289" s="3">
        <v>2272</v>
      </c>
      <c r="J289" s="3">
        <v>0</v>
      </c>
      <c r="K289" t="s">
        <v>24</v>
      </c>
    </row>
    <row r="290" spans="1:11" x14ac:dyDescent="0.35">
      <c r="A290" t="s">
        <v>881</v>
      </c>
      <c r="B290" t="s">
        <v>882</v>
      </c>
      <c r="C290" t="str">
        <f t="shared" si="9"/>
        <v>Sunday-05-2025</v>
      </c>
      <c r="D290" t="s">
        <v>883</v>
      </c>
      <c r="E290" t="s">
        <v>103</v>
      </c>
      <c r="F290" t="s">
        <v>14</v>
      </c>
      <c r="G290" t="s">
        <v>23</v>
      </c>
      <c r="H290" t="s">
        <v>41</v>
      </c>
      <c r="I290" s="3">
        <v>4343</v>
      </c>
      <c r="J290" s="3">
        <v>868.73199999999997</v>
      </c>
      <c r="K290" t="s">
        <v>37</v>
      </c>
    </row>
    <row r="291" spans="1:11" x14ac:dyDescent="0.35">
      <c r="A291" t="s">
        <v>884</v>
      </c>
      <c r="B291" t="s">
        <v>885</v>
      </c>
      <c r="C291" t="str">
        <f t="shared" si="9"/>
        <v>Monday-01-2023</v>
      </c>
      <c r="D291" t="s">
        <v>886</v>
      </c>
      <c r="E291" t="s">
        <v>28</v>
      </c>
      <c r="F291" t="s">
        <v>36</v>
      </c>
      <c r="G291" t="s">
        <v>15</v>
      </c>
      <c r="H291" t="s">
        <v>16</v>
      </c>
      <c r="I291" s="3">
        <v>2399</v>
      </c>
      <c r="J291" s="3">
        <v>239.94</v>
      </c>
      <c r="K291" t="s">
        <v>24</v>
      </c>
    </row>
    <row r="292" spans="1:11" x14ac:dyDescent="0.35">
      <c r="A292" t="s">
        <v>887</v>
      </c>
      <c r="B292" t="s">
        <v>888</v>
      </c>
      <c r="C292" t="str">
        <f t="shared" si="9"/>
        <v>Tuesday-04-2025</v>
      </c>
      <c r="E292" t="s">
        <v>35</v>
      </c>
      <c r="F292" t="s">
        <v>99</v>
      </c>
      <c r="G292" t="s">
        <v>23</v>
      </c>
      <c r="H292" t="s">
        <v>31</v>
      </c>
      <c r="I292" s="3">
        <v>384</v>
      </c>
      <c r="J292" s="3">
        <v>38.475000000000001</v>
      </c>
      <c r="K292" t="s">
        <v>37</v>
      </c>
    </row>
    <row r="293" spans="1:11" x14ac:dyDescent="0.35">
      <c r="A293" t="s">
        <v>889</v>
      </c>
      <c r="C293" t="str">
        <f t="shared" si="9"/>
        <v>Saturday-01-1900</v>
      </c>
      <c r="D293" t="s">
        <v>890</v>
      </c>
      <c r="E293" t="s">
        <v>49</v>
      </c>
      <c r="F293" t="s">
        <v>29</v>
      </c>
      <c r="G293" t="s">
        <v>30</v>
      </c>
      <c r="H293" t="s">
        <v>41</v>
      </c>
      <c r="I293" s="3">
        <v>3663</v>
      </c>
      <c r="J293" s="3">
        <v>0</v>
      </c>
      <c r="K293" t="s">
        <v>37</v>
      </c>
    </row>
    <row r="294" spans="1:11" x14ac:dyDescent="0.35">
      <c r="A294" t="s">
        <v>891</v>
      </c>
      <c r="B294" t="s">
        <v>892</v>
      </c>
      <c r="C294" t="str">
        <f t="shared" si="9"/>
        <v>Wednesday-04-2023</v>
      </c>
      <c r="D294" t="s">
        <v>893</v>
      </c>
      <c r="E294" t="s">
        <v>28</v>
      </c>
      <c r="F294" t="s">
        <v>62</v>
      </c>
      <c r="G294" t="s">
        <v>15</v>
      </c>
      <c r="H294" t="s">
        <v>31</v>
      </c>
      <c r="I294" s="3">
        <v>1579</v>
      </c>
      <c r="J294" s="3">
        <v>315.86</v>
      </c>
      <c r="K294" t="s">
        <v>17</v>
      </c>
    </row>
    <row r="295" spans="1:11" x14ac:dyDescent="0.35">
      <c r="A295" t="s">
        <v>894</v>
      </c>
      <c r="B295" t="s">
        <v>895</v>
      </c>
      <c r="C295" t="str">
        <f t="shared" si="9"/>
        <v>Wednesday-03-2023</v>
      </c>
      <c r="D295" t="s">
        <v>896</v>
      </c>
      <c r="E295" t="s">
        <v>13</v>
      </c>
      <c r="F295" t="s">
        <v>29</v>
      </c>
      <c r="G295" t="s">
        <v>15</v>
      </c>
      <c r="H295" t="s">
        <v>31</v>
      </c>
      <c r="I295" s="3">
        <v>4528</v>
      </c>
      <c r="J295" s="3">
        <v>905.77600000000007</v>
      </c>
      <c r="K295" t="s">
        <v>37</v>
      </c>
    </row>
    <row r="296" spans="1:11" x14ac:dyDescent="0.35">
      <c r="A296" t="s">
        <v>897</v>
      </c>
      <c r="B296" t="s">
        <v>898</v>
      </c>
      <c r="C296" t="str">
        <f t="shared" si="9"/>
        <v>Friday-05-2025</v>
      </c>
      <c r="D296" t="s">
        <v>899</v>
      </c>
      <c r="E296" t="s">
        <v>375</v>
      </c>
      <c r="F296" t="s">
        <v>14</v>
      </c>
      <c r="G296" t="s">
        <v>30</v>
      </c>
      <c r="H296" t="s">
        <v>16</v>
      </c>
      <c r="I296" s="3">
        <v>4540</v>
      </c>
      <c r="J296" s="3">
        <v>227.01999999999998</v>
      </c>
      <c r="K296" t="s">
        <v>17</v>
      </c>
    </row>
    <row r="297" spans="1:11" x14ac:dyDescent="0.35">
      <c r="A297" t="s">
        <v>900</v>
      </c>
      <c r="B297" t="s">
        <v>901</v>
      </c>
      <c r="C297" t="str">
        <f t="shared" si="9"/>
        <v>Sunday-09-2024</v>
      </c>
      <c r="D297" t="s">
        <v>902</v>
      </c>
      <c r="E297" t="s">
        <v>108</v>
      </c>
      <c r="F297" t="s">
        <v>36</v>
      </c>
      <c r="G297" t="s">
        <v>23</v>
      </c>
      <c r="H297" t="s">
        <v>41</v>
      </c>
      <c r="I297" s="3">
        <v>4644</v>
      </c>
      <c r="J297" s="3">
        <v>309.61133333333333</v>
      </c>
      <c r="K297" t="s">
        <v>37</v>
      </c>
    </row>
    <row r="298" spans="1:11" x14ac:dyDescent="0.35">
      <c r="A298" t="s">
        <v>903</v>
      </c>
      <c r="B298" t="s">
        <v>904</v>
      </c>
      <c r="C298" t="str">
        <f t="shared" si="9"/>
        <v>Monday-02-2024</v>
      </c>
      <c r="D298" t="s">
        <v>905</v>
      </c>
      <c r="E298" t="s">
        <v>35</v>
      </c>
      <c r="F298" t="s">
        <v>86</v>
      </c>
      <c r="G298" t="s">
        <v>15</v>
      </c>
      <c r="H298" t="s">
        <v>31</v>
      </c>
      <c r="I298" s="3">
        <v>3419</v>
      </c>
      <c r="J298" s="3">
        <v>0</v>
      </c>
      <c r="K298" t="s">
        <v>17</v>
      </c>
    </row>
    <row r="299" spans="1:11" x14ac:dyDescent="0.35">
      <c r="A299" t="s">
        <v>906</v>
      </c>
      <c r="B299" t="s">
        <v>907</v>
      </c>
      <c r="C299" t="str">
        <f t="shared" si="9"/>
        <v>Wednesday-06-2025</v>
      </c>
      <c r="D299" t="s">
        <v>908</v>
      </c>
      <c r="E299" t="s">
        <v>45</v>
      </c>
      <c r="F299" t="s">
        <v>36</v>
      </c>
      <c r="G299" t="s">
        <v>23</v>
      </c>
      <c r="H299" t="s">
        <v>41</v>
      </c>
      <c r="I299" s="3">
        <v>4862</v>
      </c>
      <c r="J299" s="3">
        <v>0</v>
      </c>
      <c r="K299" t="s">
        <v>24</v>
      </c>
    </row>
    <row r="300" spans="1:11" x14ac:dyDescent="0.35">
      <c r="A300" t="s">
        <v>909</v>
      </c>
      <c r="B300" t="s">
        <v>910</v>
      </c>
      <c r="C300" t="str">
        <f t="shared" si="9"/>
        <v>Saturday-06-2024</v>
      </c>
      <c r="D300" t="s">
        <v>911</v>
      </c>
      <c r="E300" t="s">
        <v>35</v>
      </c>
      <c r="F300" t="s">
        <v>22</v>
      </c>
      <c r="G300" t="s">
        <v>15</v>
      </c>
      <c r="H300" t="s">
        <v>41</v>
      </c>
      <c r="I300" s="3">
        <v>3823</v>
      </c>
      <c r="J300" s="3">
        <v>382.33100000000002</v>
      </c>
      <c r="K300" t="s">
        <v>37</v>
      </c>
    </row>
    <row r="301" spans="1:11" x14ac:dyDescent="0.35">
      <c r="A301" t="s">
        <v>912</v>
      </c>
      <c r="B301" t="s">
        <v>913</v>
      </c>
      <c r="C301" t="str">
        <f t="shared" si="9"/>
        <v>Wednesday-03-2024</v>
      </c>
      <c r="D301" t="s">
        <v>914</v>
      </c>
      <c r="E301" t="s">
        <v>103</v>
      </c>
      <c r="F301" t="s">
        <v>29</v>
      </c>
      <c r="G301" t="s">
        <v>23</v>
      </c>
      <c r="H301" t="s">
        <v>16</v>
      </c>
      <c r="I301" s="3">
        <v>444</v>
      </c>
      <c r="J301" s="3">
        <v>88.81</v>
      </c>
      <c r="K301" t="s">
        <v>24</v>
      </c>
    </row>
    <row r="302" spans="1:11" x14ac:dyDescent="0.35">
      <c r="A302" t="s">
        <v>915</v>
      </c>
      <c r="B302" t="s">
        <v>916</v>
      </c>
      <c r="C302" t="str">
        <f t="shared" si="9"/>
        <v xml:space="preserve"> 10-Oct-2024 21:56</v>
      </c>
      <c r="D302" t="s">
        <v>917</v>
      </c>
      <c r="E302" t="s">
        <v>49</v>
      </c>
      <c r="F302" t="s">
        <v>36</v>
      </c>
      <c r="G302" t="s">
        <v>30</v>
      </c>
      <c r="H302" t="s">
        <v>16</v>
      </c>
      <c r="I302" s="3">
        <v>2407</v>
      </c>
      <c r="J302" s="3">
        <v>481.58000000000004</v>
      </c>
      <c r="K302" t="s">
        <v>17</v>
      </c>
    </row>
    <row r="303" spans="1:11" x14ac:dyDescent="0.35">
      <c r="A303" t="s">
        <v>918</v>
      </c>
      <c r="B303" t="s">
        <v>919</v>
      </c>
      <c r="C303" t="str">
        <f t="shared" si="9"/>
        <v>Sunday-03-2023</v>
      </c>
      <c r="D303" t="s">
        <v>920</v>
      </c>
      <c r="E303" t="s">
        <v>112</v>
      </c>
      <c r="F303" t="s">
        <v>29</v>
      </c>
      <c r="G303" t="s">
        <v>30</v>
      </c>
      <c r="H303" t="s">
        <v>41</v>
      </c>
      <c r="I303" s="3">
        <v>2594</v>
      </c>
      <c r="J303" s="3">
        <v>518.94399999999996</v>
      </c>
      <c r="K303" t="s">
        <v>37</v>
      </c>
    </row>
    <row r="304" spans="1:11" x14ac:dyDescent="0.35">
      <c r="A304" t="s">
        <v>921</v>
      </c>
      <c r="B304" t="s">
        <v>922</v>
      </c>
      <c r="C304" t="str">
        <f t="shared" si="9"/>
        <v>Friday-12-2024</v>
      </c>
      <c r="D304" t="s">
        <v>923</v>
      </c>
      <c r="E304" t="s">
        <v>21</v>
      </c>
      <c r="F304" t="s">
        <v>29</v>
      </c>
      <c r="G304" t="s">
        <v>15</v>
      </c>
      <c r="H304" t="s">
        <v>31</v>
      </c>
      <c r="I304" s="3">
        <v>1926</v>
      </c>
      <c r="J304" s="3">
        <v>0</v>
      </c>
      <c r="K304" t="s">
        <v>37</v>
      </c>
    </row>
    <row r="305" spans="1:11" x14ac:dyDescent="0.35">
      <c r="A305" t="s">
        <v>924</v>
      </c>
      <c r="B305" t="s">
        <v>925</v>
      </c>
      <c r="C305" t="str">
        <f t="shared" si="9"/>
        <v>Sunday-10-2024</v>
      </c>
      <c r="D305" t="s">
        <v>926</v>
      </c>
      <c r="E305" t="s">
        <v>108</v>
      </c>
      <c r="F305" t="s">
        <v>62</v>
      </c>
      <c r="G305" t="s">
        <v>15</v>
      </c>
      <c r="H305" t="s">
        <v>31</v>
      </c>
      <c r="I305" s="3">
        <v>1596</v>
      </c>
      <c r="J305" s="3">
        <v>159.65899999999999</v>
      </c>
      <c r="K305" t="s">
        <v>37</v>
      </c>
    </row>
    <row r="306" spans="1:11" x14ac:dyDescent="0.35">
      <c r="A306" t="s">
        <v>927</v>
      </c>
      <c r="B306" t="s">
        <v>928</v>
      </c>
      <c r="C306" t="str">
        <f t="shared" si="9"/>
        <v>Friday-05-2024</v>
      </c>
      <c r="D306" t="s">
        <v>929</v>
      </c>
      <c r="E306" t="s">
        <v>13</v>
      </c>
      <c r="F306" t="s">
        <v>86</v>
      </c>
      <c r="G306" t="s">
        <v>30</v>
      </c>
      <c r="H306" t="s">
        <v>31</v>
      </c>
      <c r="I306" s="3">
        <v>2010</v>
      </c>
      <c r="J306" s="3">
        <v>201.04900000000001</v>
      </c>
      <c r="K306" t="s">
        <v>17</v>
      </c>
    </row>
    <row r="307" spans="1:11" x14ac:dyDescent="0.35">
      <c r="A307" t="s">
        <v>930</v>
      </c>
      <c r="B307" t="s">
        <v>931</v>
      </c>
      <c r="C307" t="str">
        <f t="shared" si="9"/>
        <v>Thursday-09-2023</v>
      </c>
      <c r="D307" t="s">
        <v>932</v>
      </c>
      <c r="E307" t="s">
        <v>49</v>
      </c>
      <c r="F307" t="s">
        <v>29</v>
      </c>
      <c r="G307" t="s">
        <v>23</v>
      </c>
      <c r="H307" t="s">
        <v>31</v>
      </c>
      <c r="I307" s="3">
        <v>452</v>
      </c>
      <c r="J307" s="3">
        <v>90.462000000000003</v>
      </c>
      <c r="K307" t="s">
        <v>37</v>
      </c>
    </row>
    <row r="308" spans="1:11" x14ac:dyDescent="0.35">
      <c r="A308" t="s">
        <v>933</v>
      </c>
      <c r="B308" t="s">
        <v>934</v>
      </c>
      <c r="C308" t="str">
        <f t="shared" si="9"/>
        <v>Monday-12-2024</v>
      </c>
      <c r="D308" t="s">
        <v>935</v>
      </c>
      <c r="E308" t="s">
        <v>253</v>
      </c>
      <c r="F308" t="s">
        <v>36</v>
      </c>
      <c r="G308" t="s">
        <v>23</v>
      </c>
      <c r="H308" t="s">
        <v>31</v>
      </c>
      <c r="I308" s="3">
        <v>4605</v>
      </c>
      <c r="J308" s="3">
        <v>230.26500000000001</v>
      </c>
      <c r="K308" t="s">
        <v>24</v>
      </c>
    </row>
    <row r="309" spans="1:11" x14ac:dyDescent="0.35">
      <c r="A309" t="s">
        <v>936</v>
      </c>
      <c r="B309" t="s">
        <v>937</v>
      </c>
      <c r="C309" t="str">
        <f t="shared" si="9"/>
        <v>Saturday-11-2023</v>
      </c>
      <c r="E309" t="s">
        <v>28</v>
      </c>
      <c r="F309" t="s">
        <v>66</v>
      </c>
      <c r="G309" t="s">
        <v>30</v>
      </c>
      <c r="H309" t="s">
        <v>31</v>
      </c>
      <c r="I309" s="3">
        <v>4838</v>
      </c>
      <c r="J309" s="3">
        <v>0</v>
      </c>
      <c r="K309" t="s">
        <v>17</v>
      </c>
    </row>
    <row r="310" spans="1:11" x14ac:dyDescent="0.35">
      <c r="A310" t="s">
        <v>938</v>
      </c>
      <c r="B310" t="s">
        <v>939</v>
      </c>
      <c r="C310" t="str">
        <f t="shared" si="9"/>
        <v>Friday-01-2023</v>
      </c>
      <c r="E310" t="s">
        <v>13</v>
      </c>
      <c r="F310" t="s">
        <v>66</v>
      </c>
      <c r="G310" t="s">
        <v>23</v>
      </c>
      <c r="H310" t="s">
        <v>16</v>
      </c>
      <c r="I310" s="3">
        <v>4241</v>
      </c>
      <c r="J310" s="3">
        <v>848.28199999999993</v>
      </c>
      <c r="K310" t="s">
        <v>17</v>
      </c>
    </row>
    <row r="311" spans="1:11" x14ac:dyDescent="0.35">
      <c r="A311" t="s">
        <v>940</v>
      </c>
      <c r="B311" t="s">
        <v>271</v>
      </c>
      <c r="C311" t="str">
        <f t="shared" si="9"/>
        <v>Monday-01-2024</v>
      </c>
      <c r="D311" t="s">
        <v>941</v>
      </c>
      <c r="E311" t="s">
        <v>28</v>
      </c>
      <c r="F311" t="s">
        <v>14</v>
      </c>
      <c r="G311" t="s">
        <v>23</v>
      </c>
      <c r="H311" t="s">
        <v>31</v>
      </c>
      <c r="I311" s="3">
        <v>3572</v>
      </c>
      <c r="J311" s="3">
        <v>0</v>
      </c>
      <c r="K311" t="s">
        <v>24</v>
      </c>
    </row>
    <row r="312" spans="1:11" x14ac:dyDescent="0.35">
      <c r="A312" t="s">
        <v>942</v>
      </c>
      <c r="B312" t="s">
        <v>943</v>
      </c>
      <c r="C312" t="str">
        <f t="shared" si="9"/>
        <v>Tuesday-03-2024</v>
      </c>
      <c r="D312" t="s">
        <v>944</v>
      </c>
      <c r="E312" t="s">
        <v>49</v>
      </c>
      <c r="F312" t="s">
        <v>62</v>
      </c>
      <c r="G312" t="s">
        <v>30</v>
      </c>
      <c r="H312" t="s">
        <v>41</v>
      </c>
      <c r="I312" s="3">
        <v>4004</v>
      </c>
      <c r="J312" s="3">
        <v>800.928</v>
      </c>
      <c r="K312" t="s">
        <v>24</v>
      </c>
    </row>
    <row r="313" spans="1:11" x14ac:dyDescent="0.35">
      <c r="A313" t="s">
        <v>945</v>
      </c>
      <c r="B313" t="s">
        <v>946</v>
      </c>
      <c r="C313" t="str">
        <f t="shared" si="9"/>
        <v>Thursday-07-2024</v>
      </c>
      <c r="D313" t="s">
        <v>947</v>
      </c>
      <c r="E313" t="s">
        <v>49</v>
      </c>
      <c r="F313" t="s">
        <v>86</v>
      </c>
      <c r="G313" t="s">
        <v>23</v>
      </c>
      <c r="H313" t="s">
        <v>41</v>
      </c>
      <c r="I313" s="3">
        <v>4334</v>
      </c>
      <c r="J313" s="3">
        <v>866.99599999999987</v>
      </c>
      <c r="K313" t="s">
        <v>17</v>
      </c>
    </row>
    <row r="314" spans="1:11" x14ac:dyDescent="0.35">
      <c r="A314" t="s">
        <v>948</v>
      </c>
      <c r="B314" t="s">
        <v>949</v>
      </c>
      <c r="C314" t="str">
        <f t="shared" si="9"/>
        <v>Wednesday-09-2024</v>
      </c>
      <c r="D314" t="s">
        <v>950</v>
      </c>
      <c r="E314" t="s">
        <v>112</v>
      </c>
      <c r="F314" t="s">
        <v>143</v>
      </c>
      <c r="G314" t="s">
        <v>23</v>
      </c>
      <c r="H314" t="s">
        <v>41</v>
      </c>
      <c r="I314" s="3">
        <v>1054</v>
      </c>
      <c r="J314" s="3">
        <v>70.314666666666668</v>
      </c>
      <c r="K314" t="s">
        <v>24</v>
      </c>
    </row>
    <row r="315" spans="1:11" x14ac:dyDescent="0.35">
      <c r="A315" t="s">
        <v>951</v>
      </c>
      <c r="B315" t="s">
        <v>952</v>
      </c>
      <c r="C315" t="str">
        <f t="shared" si="9"/>
        <v>Friday-02-2024</v>
      </c>
      <c r="D315" t="s">
        <v>953</v>
      </c>
      <c r="E315" t="s">
        <v>61</v>
      </c>
      <c r="F315" t="s">
        <v>36</v>
      </c>
      <c r="G315" t="s">
        <v>23</v>
      </c>
      <c r="H315" t="s">
        <v>41</v>
      </c>
      <c r="I315" s="3">
        <v>3926</v>
      </c>
      <c r="J315" s="3">
        <v>785.28599999999994</v>
      </c>
      <c r="K315" t="s">
        <v>37</v>
      </c>
    </row>
    <row r="316" spans="1:11" x14ac:dyDescent="0.35">
      <c r="A316" t="s">
        <v>954</v>
      </c>
      <c r="B316" t="s">
        <v>955</v>
      </c>
      <c r="C316" t="str">
        <f t="shared" si="9"/>
        <v>Tuesday-11-2024</v>
      </c>
      <c r="D316" t="s">
        <v>956</v>
      </c>
      <c r="E316" t="s">
        <v>103</v>
      </c>
      <c r="F316" t="s">
        <v>36</v>
      </c>
      <c r="G316" t="s">
        <v>15</v>
      </c>
      <c r="H316" t="s">
        <v>31</v>
      </c>
      <c r="I316" s="3">
        <v>3103</v>
      </c>
      <c r="J316" s="3">
        <v>155.17699999999999</v>
      </c>
      <c r="K316" t="s">
        <v>24</v>
      </c>
    </row>
    <row r="317" spans="1:11" x14ac:dyDescent="0.35">
      <c r="A317" t="s">
        <v>957</v>
      </c>
      <c r="C317" t="str">
        <f t="shared" si="9"/>
        <v>Saturday-01-1900</v>
      </c>
      <c r="D317" t="s">
        <v>958</v>
      </c>
      <c r="E317" t="s">
        <v>28</v>
      </c>
      <c r="F317" t="s">
        <v>14</v>
      </c>
      <c r="G317" t="s">
        <v>30</v>
      </c>
      <c r="H317" t="s">
        <v>16</v>
      </c>
      <c r="I317" s="3">
        <v>2236</v>
      </c>
      <c r="J317" s="3">
        <v>0</v>
      </c>
      <c r="K317" t="s">
        <v>24</v>
      </c>
    </row>
    <row r="318" spans="1:11" x14ac:dyDescent="0.35">
      <c r="A318" t="s">
        <v>959</v>
      </c>
      <c r="B318" t="s">
        <v>401</v>
      </c>
      <c r="C318" t="str">
        <f t="shared" si="9"/>
        <v>Monday-06-2024</v>
      </c>
      <c r="D318" t="s">
        <v>960</v>
      </c>
      <c r="E318" t="s">
        <v>45</v>
      </c>
      <c r="F318" t="s">
        <v>14</v>
      </c>
      <c r="G318" t="s">
        <v>15</v>
      </c>
      <c r="H318" t="s">
        <v>16</v>
      </c>
      <c r="I318" s="3">
        <v>1067</v>
      </c>
      <c r="J318" s="3">
        <v>0</v>
      </c>
      <c r="K318" t="s">
        <v>24</v>
      </c>
    </row>
    <row r="319" spans="1:11" x14ac:dyDescent="0.35">
      <c r="A319" t="s">
        <v>961</v>
      </c>
      <c r="B319" t="s">
        <v>962</v>
      </c>
      <c r="C319" t="str">
        <f t="shared" si="9"/>
        <v>06-24-2024 22:47</v>
      </c>
      <c r="D319" t="s">
        <v>963</v>
      </c>
      <c r="E319" t="s">
        <v>103</v>
      </c>
      <c r="F319" t="s">
        <v>29</v>
      </c>
      <c r="G319" t="s">
        <v>30</v>
      </c>
      <c r="H319" t="s">
        <v>41</v>
      </c>
      <c r="I319" s="3">
        <v>3119</v>
      </c>
      <c r="J319" s="3">
        <v>311.904</v>
      </c>
      <c r="K319" t="s">
        <v>24</v>
      </c>
    </row>
    <row r="320" spans="1:11" x14ac:dyDescent="0.35">
      <c r="A320" t="s">
        <v>964</v>
      </c>
      <c r="B320" t="s">
        <v>965</v>
      </c>
      <c r="C320" t="str">
        <f t="shared" si="9"/>
        <v>04-24-2024 12:10</v>
      </c>
      <c r="D320" t="s">
        <v>966</v>
      </c>
      <c r="E320" t="s">
        <v>13</v>
      </c>
      <c r="F320" t="s">
        <v>86</v>
      </c>
      <c r="G320" t="s">
        <v>15</v>
      </c>
      <c r="H320" t="s">
        <v>31</v>
      </c>
      <c r="I320" s="3">
        <v>273</v>
      </c>
      <c r="J320" s="3">
        <v>13.687000000000001</v>
      </c>
      <c r="K320" t="s">
        <v>24</v>
      </c>
    </row>
    <row r="321" spans="1:11" x14ac:dyDescent="0.35">
      <c r="A321" t="s">
        <v>967</v>
      </c>
      <c r="B321" t="s">
        <v>968</v>
      </c>
      <c r="C321" t="str">
        <f t="shared" si="9"/>
        <v>Thursday-11-2024</v>
      </c>
      <c r="D321" t="s">
        <v>969</v>
      </c>
      <c r="E321" t="s">
        <v>35</v>
      </c>
      <c r="F321" t="s">
        <v>86</v>
      </c>
      <c r="G321" t="s">
        <v>23</v>
      </c>
      <c r="H321" t="s">
        <v>16</v>
      </c>
      <c r="I321" s="3">
        <v>4432</v>
      </c>
      <c r="J321" s="3">
        <v>886.59799999999996</v>
      </c>
      <c r="K321" t="s">
        <v>37</v>
      </c>
    </row>
    <row r="322" spans="1:11" x14ac:dyDescent="0.35">
      <c r="A322" t="s">
        <v>970</v>
      </c>
      <c r="B322" t="s">
        <v>971</v>
      </c>
      <c r="C322" t="str">
        <f t="shared" si="9"/>
        <v>Tuesday-10-2023</v>
      </c>
      <c r="D322" t="s">
        <v>972</v>
      </c>
      <c r="E322" t="s">
        <v>49</v>
      </c>
      <c r="F322" t="s">
        <v>36</v>
      </c>
      <c r="G322" t="s">
        <v>30</v>
      </c>
      <c r="H322" t="s">
        <v>16</v>
      </c>
      <c r="I322" s="3">
        <v>823</v>
      </c>
      <c r="J322" s="3">
        <v>82.301999999999992</v>
      </c>
      <c r="K322" t="s">
        <v>37</v>
      </c>
    </row>
    <row r="323" spans="1:11" x14ac:dyDescent="0.35">
      <c r="A323" t="s">
        <v>973</v>
      </c>
      <c r="C323" t="str">
        <f t="shared" ref="C323:C386" si="10">TEXT(B323,"dddd-mm-yyyy")</f>
        <v>Saturday-01-1900</v>
      </c>
      <c r="D323" t="s">
        <v>974</v>
      </c>
      <c r="E323" t="s">
        <v>35</v>
      </c>
      <c r="F323" t="s">
        <v>22</v>
      </c>
      <c r="G323" t="s">
        <v>23</v>
      </c>
      <c r="H323" t="s">
        <v>31</v>
      </c>
      <c r="I323" s="3">
        <v>3626</v>
      </c>
      <c r="J323" s="3">
        <v>362.608</v>
      </c>
      <c r="K323" t="s">
        <v>37</v>
      </c>
    </row>
    <row r="324" spans="1:11" x14ac:dyDescent="0.35">
      <c r="A324" t="s">
        <v>975</v>
      </c>
      <c r="B324" t="s">
        <v>976</v>
      </c>
      <c r="C324" t="str">
        <f t="shared" si="10"/>
        <v>Saturday-11-2024</v>
      </c>
      <c r="D324" t="s">
        <v>977</v>
      </c>
      <c r="E324" t="s">
        <v>112</v>
      </c>
      <c r="F324" t="s">
        <v>29</v>
      </c>
      <c r="G324" t="s">
        <v>23</v>
      </c>
      <c r="H324" t="s">
        <v>31</v>
      </c>
      <c r="I324" s="3">
        <v>1626</v>
      </c>
      <c r="J324" s="3">
        <v>81.334000000000003</v>
      </c>
      <c r="K324" t="s">
        <v>24</v>
      </c>
    </row>
    <row r="325" spans="1:11" x14ac:dyDescent="0.35">
      <c r="A325" t="s">
        <v>978</v>
      </c>
      <c r="B325" t="s">
        <v>979</v>
      </c>
      <c r="C325" t="str">
        <f t="shared" si="10"/>
        <v>Thursday-06-2025</v>
      </c>
      <c r="D325" t="s">
        <v>980</v>
      </c>
      <c r="E325" t="s">
        <v>45</v>
      </c>
      <c r="F325" t="s">
        <v>14</v>
      </c>
      <c r="G325" t="s">
        <v>15</v>
      </c>
      <c r="H325" t="s">
        <v>41</v>
      </c>
      <c r="I325" s="3">
        <v>4719</v>
      </c>
      <c r="J325" s="3">
        <v>471.94499999999999</v>
      </c>
      <c r="K325" t="s">
        <v>24</v>
      </c>
    </row>
    <row r="326" spans="1:11" x14ac:dyDescent="0.35">
      <c r="A326" t="s">
        <v>981</v>
      </c>
      <c r="B326" t="s">
        <v>982</v>
      </c>
      <c r="C326" t="str">
        <f t="shared" si="10"/>
        <v xml:space="preserve"> 20 November 2024</v>
      </c>
      <c r="D326" t="s">
        <v>983</v>
      </c>
      <c r="E326" t="s">
        <v>49</v>
      </c>
      <c r="F326" t="s">
        <v>22</v>
      </c>
      <c r="G326" t="s">
        <v>23</v>
      </c>
      <c r="H326" t="s">
        <v>31</v>
      </c>
      <c r="I326" s="3">
        <v>1814</v>
      </c>
      <c r="J326" s="3">
        <v>181.49</v>
      </c>
      <c r="K326" t="s">
        <v>37</v>
      </c>
    </row>
    <row r="327" spans="1:11" x14ac:dyDescent="0.35">
      <c r="A327" t="s">
        <v>984</v>
      </c>
      <c r="B327" t="s">
        <v>985</v>
      </c>
      <c r="C327" t="str">
        <f t="shared" si="10"/>
        <v>Sunday-02-2024</v>
      </c>
      <c r="D327" t="s">
        <v>986</v>
      </c>
      <c r="E327" t="s">
        <v>28</v>
      </c>
      <c r="F327" t="s">
        <v>36</v>
      </c>
      <c r="G327" t="s">
        <v>30</v>
      </c>
      <c r="H327" t="s">
        <v>41</v>
      </c>
      <c r="I327" s="3">
        <v>3971</v>
      </c>
      <c r="J327" s="3">
        <v>0</v>
      </c>
      <c r="K327" t="s">
        <v>37</v>
      </c>
    </row>
    <row r="328" spans="1:11" x14ac:dyDescent="0.35">
      <c r="A328" t="s">
        <v>987</v>
      </c>
      <c r="B328" t="s">
        <v>988</v>
      </c>
      <c r="C328" t="str">
        <f t="shared" si="10"/>
        <v>Saturday-11-2023</v>
      </c>
      <c r="D328" t="s">
        <v>989</v>
      </c>
      <c r="E328" t="s">
        <v>108</v>
      </c>
      <c r="F328" t="s">
        <v>22</v>
      </c>
      <c r="G328" t="s">
        <v>23</v>
      </c>
      <c r="H328" t="s">
        <v>31</v>
      </c>
      <c r="I328" s="3">
        <v>618</v>
      </c>
      <c r="J328" s="3">
        <v>0</v>
      </c>
      <c r="K328" t="s">
        <v>24</v>
      </c>
    </row>
    <row r="329" spans="1:11" x14ac:dyDescent="0.35">
      <c r="A329" t="s">
        <v>990</v>
      </c>
      <c r="B329" t="s">
        <v>991</v>
      </c>
      <c r="C329" t="str">
        <f t="shared" si="10"/>
        <v>05-24-2024</v>
      </c>
      <c r="D329" t="s">
        <v>992</v>
      </c>
      <c r="E329" t="s">
        <v>13</v>
      </c>
      <c r="F329" t="s">
        <v>22</v>
      </c>
      <c r="G329" t="s">
        <v>23</v>
      </c>
      <c r="H329" t="s">
        <v>41</v>
      </c>
      <c r="I329" s="3">
        <v>1672</v>
      </c>
      <c r="J329" s="3">
        <v>83.608000000000004</v>
      </c>
      <c r="K329" t="s">
        <v>17</v>
      </c>
    </row>
    <row r="330" spans="1:11" x14ac:dyDescent="0.35">
      <c r="A330" t="s">
        <v>993</v>
      </c>
      <c r="B330" t="s">
        <v>994</v>
      </c>
      <c r="C330" t="str">
        <f t="shared" si="10"/>
        <v>Thursday-02-2025</v>
      </c>
      <c r="D330" t="s">
        <v>707</v>
      </c>
      <c r="E330" t="s">
        <v>45</v>
      </c>
      <c r="F330" t="s">
        <v>36</v>
      </c>
      <c r="G330" t="s">
        <v>30</v>
      </c>
      <c r="H330" t="s">
        <v>16</v>
      </c>
      <c r="I330" s="3">
        <v>3892</v>
      </c>
      <c r="J330" s="3">
        <v>0</v>
      </c>
      <c r="K330" t="s">
        <v>17</v>
      </c>
    </row>
    <row r="331" spans="1:11" x14ac:dyDescent="0.35">
      <c r="A331" t="s">
        <v>995</v>
      </c>
      <c r="B331" t="s">
        <v>996</v>
      </c>
      <c r="C331" t="str">
        <f t="shared" si="10"/>
        <v>03-27-2023 14:25</v>
      </c>
      <c r="D331" t="s">
        <v>997</v>
      </c>
      <c r="E331" t="s">
        <v>49</v>
      </c>
      <c r="F331" t="s">
        <v>22</v>
      </c>
      <c r="G331" t="s">
        <v>15</v>
      </c>
      <c r="H331" t="s">
        <v>16</v>
      </c>
      <c r="I331" s="3">
        <v>2740</v>
      </c>
      <c r="J331" s="3">
        <v>274.05799999999999</v>
      </c>
      <c r="K331" t="s">
        <v>24</v>
      </c>
    </row>
    <row r="332" spans="1:11" x14ac:dyDescent="0.35">
      <c r="A332" t="s">
        <v>998</v>
      </c>
      <c r="B332" t="s">
        <v>999</v>
      </c>
      <c r="C332" t="str">
        <f t="shared" si="10"/>
        <v>Thursday-05-2024</v>
      </c>
      <c r="D332" t="s">
        <v>1000</v>
      </c>
      <c r="E332" t="s">
        <v>375</v>
      </c>
      <c r="F332" t="s">
        <v>36</v>
      </c>
      <c r="G332" t="s">
        <v>23</v>
      </c>
      <c r="H332" t="s">
        <v>41</v>
      </c>
      <c r="I332" s="3">
        <v>4485</v>
      </c>
      <c r="J332" s="3">
        <v>0</v>
      </c>
      <c r="K332" t="s">
        <v>37</v>
      </c>
    </row>
    <row r="333" spans="1:11" x14ac:dyDescent="0.35">
      <c r="A333" t="s">
        <v>1001</v>
      </c>
      <c r="B333" t="s">
        <v>941</v>
      </c>
      <c r="C333" t="str">
        <f t="shared" si="10"/>
        <v>Tuesday-01-2024</v>
      </c>
      <c r="E333" t="s">
        <v>269</v>
      </c>
      <c r="F333" t="s">
        <v>22</v>
      </c>
      <c r="G333" t="s">
        <v>15</v>
      </c>
      <c r="H333" t="s">
        <v>41</v>
      </c>
      <c r="I333" s="3">
        <v>1440</v>
      </c>
      <c r="J333" s="3">
        <v>0</v>
      </c>
      <c r="K333" t="s">
        <v>17</v>
      </c>
    </row>
    <row r="334" spans="1:11" x14ac:dyDescent="0.35">
      <c r="A334" t="s">
        <v>1002</v>
      </c>
      <c r="B334" t="s">
        <v>1003</v>
      </c>
      <c r="C334" t="str">
        <f t="shared" si="10"/>
        <v>Thursday-04-2024</v>
      </c>
      <c r="E334" t="s">
        <v>103</v>
      </c>
      <c r="F334" t="s">
        <v>14</v>
      </c>
      <c r="G334" t="s">
        <v>23</v>
      </c>
      <c r="H334" t="s">
        <v>41</v>
      </c>
      <c r="I334" s="3">
        <v>1016</v>
      </c>
      <c r="J334" s="3">
        <v>0</v>
      </c>
      <c r="K334" t="s">
        <v>37</v>
      </c>
    </row>
    <row r="335" spans="1:11" x14ac:dyDescent="0.35">
      <c r="A335" t="s">
        <v>1004</v>
      </c>
      <c r="B335" t="s">
        <v>1005</v>
      </c>
      <c r="C335" t="str">
        <f t="shared" si="10"/>
        <v xml:space="preserve"> 19/02/2024</v>
      </c>
      <c r="D335" t="s">
        <v>1006</v>
      </c>
      <c r="E335" t="s">
        <v>112</v>
      </c>
      <c r="F335" t="s">
        <v>143</v>
      </c>
      <c r="G335" t="s">
        <v>30</v>
      </c>
      <c r="H335" t="s">
        <v>41</v>
      </c>
      <c r="I335" s="3">
        <v>2903</v>
      </c>
      <c r="J335" s="3">
        <v>193.59200000000001</v>
      </c>
      <c r="K335" t="s">
        <v>17</v>
      </c>
    </row>
    <row r="336" spans="1:11" x14ac:dyDescent="0.35">
      <c r="A336" t="s">
        <v>1007</v>
      </c>
      <c r="B336" t="s">
        <v>1008</v>
      </c>
      <c r="C336" t="str">
        <f t="shared" si="10"/>
        <v>01-31-2025</v>
      </c>
      <c r="D336" t="s">
        <v>1009</v>
      </c>
      <c r="E336" t="s">
        <v>61</v>
      </c>
      <c r="F336" t="s">
        <v>86</v>
      </c>
      <c r="G336" t="s">
        <v>30</v>
      </c>
      <c r="H336" t="s">
        <v>41</v>
      </c>
      <c r="I336" s="3">
        <v>3869</v>
      </c>
      <c r="J336" s="3">
        <v>386.93600000000004</v>
      </c>
      <c r="K336" t="s">
        <v>17</v>
      </c>
    </row>
    <row r="337" spans="1:11" x14ac:dyDescent="0.35">
      <c r="A337" t="s">
        <v>1010</v>
      </c>
      <c r="B337" t="s">
        <v>1011</v>
      </c>
      <c r="C337" t="str">
        <f t="shared" si="10"/>
        <v>Saturday-04-2025</v>
      </c>
      <c r="D337" t="s">
        <v>1012</v>
      </c>
      <c r="E337" t="s">
        <v>53</v>
      </c>
      <c r="F337" t="s">
        <v>29</v>
      </c>
      <c r="G337" t="s">
        <v>15</v>
      </c>
      <c r="H337" t="s">
        <v>31</v>
      </c>
      <c r="I337" s="3">
        <v>295</v>
      </c>
      <c r="J337" s="3">
        <v>29.522000000000002</v>
      </c>
      <c r="K337" t="s">
        <v>17</v>
      </c>
    </row>
    <row r="338" spans="1:11" x14ac:dyDescent="0.35">
      <c r="A338" t="s">
        <v>1013</v>
      </c>
      <c r="B338" t="s">
        <v>1014</v>
      </c>
      <c r="C338" t="str">
        <f t="shared" si="10"/>
        <v>Saturday-08-2024</v>
      </c>
      <c r="D338" t="s">
        <v>1015</v>
      </c>
      <c r="E338" t="s">
        <v>45</v>
      </c>
      <c r="F338" t="s">
        <v>14</v>
      </c>
      <c r="G338" t="s">
        <v>30</v>
      </c>
      <c r="H338" t="s">
        <v>41</v>
      </c>
      <c r="I338" s="3">
        <v>1540</v>
      </c>
      <c r="J338" s="3">
        <v>0</v>
      </c>
      <c r="K338" t="s">
        <v>17</v>
      </c>
    </row>
    <row r="339" spans="1:11" x14ac:dyDescent="0.35">
      <c r="A339" t="s">
        <v>1016</v>
      </c>
      <c r="B339" t="s">
        <v>1017</v>
      </c>
      <c r="C339" t="str">
        <f t="shared" si="10"/>
        <v>Saturday-11-2023</v>
      </c>
      <c r="D339" t="s">
        <v>1018</v>
      </c>
      <c r="E339" t="s">
        <v>202</v>
      </c>
      <c r="F339" t="s">
        <v>86</v>
      </c>
      <c r="G339" t="s">
        <v>23</v>
      </c>
      <c r="H339" t="s">
        <v>31</v>
      </c>
      <c r="I339" s="3">
        <v>1801</v>
      </c>
      <c r="J339" s="3">
        <v>120.08533333333334</v>
      </c>
      <c r="K339" t="s">
        <v>37</v>
      </c>
    </row>
    <row r="340" spans="1:11" x14ac:dyDescent="0.35">
      <c r="A340" t="s">
        <v>1019</v>
      </c>
      <c r="B340" t="s">
        <v>1020</v>
      </c>
      <c r="C340" t="str">
        <f t="shared" si="10"/>
        <v>Friday-01-2024</v>
      </c>
      <c r="D340" t="s">
        <v>1021</v>
      </c>
      <c r="E340" t="s">
        <v>269</v>
      </c>
      <c r="F340" t="s">
        <v>22</v>
      </c>
      <c r="G340" t="s">
        <v>30</v>
      </c>
      <c r="H340" t="s">
        <v>41</v>
      </c>
      <c r="I340" s="3">
        <v>917</v>
      </c>
      <c r="J340" s="3">
        <v>61.164000000000001</v>
      </c>
      <c r="K340" t="s">
        <v>24</v>
      </c>
    </row>
    <row r="341" spans="1:11" x14ac:dyDescent="0.35">
      <c r="A341" t="s">
        <v>1022</v>
      </c>
      <c r="B341" t="s">
        <v>1023</v>
      </c>
      <c r="C341" t="str">
        <f t="shared" si="10"/>
        <v>Saturday-02-2024</v>
      </c>
      <c r="D341" t="s">
        <v>1024</v>
      </c>
      <c r="E341" t="s">
        <v>79</v>
      </c>
      <c r="F341" t="s">
        <v>29</v>
      </c>
      <c r="G341" t="s">
        <v>23</v>
      </c>
      <c r="H341" t="s">
        <v>31</v>
      </c>
      <c r="I341" s="3">
        <v>2956</v>
      </c>
      <c r="J341" s="3">
        <v>295.66800000000001</v>
      </c>
      <c r="K341" t="s">
        <v>37</v>
      </c>
    </row>
    <row r="342" spans="1:11" x14ac:dyDescent="0.35">
      <c r="A342" t="s">
        <v>1025</v>
      </c>
      <c r="B342" t="s">
        <v>1026</v>
      </c>
      <c r="C342" t="str">
        <f t="shared" si="10"/>
        <v>Wednesday-04-2025</v>
      </c>
      <c r="D342" t="s">
        <v>1027</v>
      </c>
      <c r="E342" t="s">
        <v>103</v>
      </c>
      <c r="F342" t="s">
        <v>22</v>
      </c>
      <c r="G342" t="s">
        <v>15</v>
      </c>
      <c r="H342" t="s">
        <v>31</v>
      </c>
      <c r="I342" s="3">
        <v>1045</v>
      </c>
      <c r="J342" s="3">
        <v>69.681333333333342</v>
      </c>
      <c r="K342" t="s">
        <v>24</v>
      </c>
    </row>
    <row r="343" spans="1:11" x14ac:dyDescent="0.35">
      <c r="A343" t="s">
        <v>1028</v>
      </c>
      <c r="B343" t="s">
        <v>316</v>
      </c>
      <c r="C343" t="str">
        <f t="shared" si="10"/>
        <v>Friday-11-2024</v>
      </c>
      <c r="D343" t="s">
        <v>1029</v>
      </c>
      <c r="E343" t="s">
        <v>112</v>
      </c>
      <c r="F343" t="s">
        <v>14</v>
      </c>
      <c r="G343" t="s">
        <v>30</v>
      </c>
      <c r="H343" t="s">
        <v>31</v>
      </c>
      <c r="I343" s="3">
        <v>482</v>
      </c>
      <c r="J343" s="3">
        <v>48.262</v>
      </c>
      <c r="K343" t="s">
        <v>17</v>
      </c>
    </row>
    <row r="344" spans="1:11" x14ac:dyDescent="0.35">
      <c r="A344" t="s">
        <v>1030</v>
      </c>
      <c r="B344" t="s">
        <v>1031</v>
      </c>
      <c r="C344" t="str">
        <f t="shared" si="10"/>
        <v>Wednesday-11-2025</v>
      </c>
      <c r="D344" t="s">
        <v>1032</v>
      </c>
      <c r="E344" t="s">
        <v>108</v>
      </c>
      <c r="F344" t="s">
        <v>66</v>
      </c>
      <c r="G344" t="s">
        <v>23</v>
      </c>
      <c r="H344" t="s">
        <v>41</v>
      </c>
      <c r="I344" s="3">
        <v>3813</v>
      </c>
      <c r="J344" s="3">
        <v>762.75</v>
      </c>
      <c r="K344" t="s">
        <v>17</v>
      </c>
    </row>
    <row r="345" spans="1:11" x14ac:dyDescent="0.35">
      <c r="A345" t="s">
        <v>1033</v>
      </c>
      <c r="B345" t="s">
        <v>1034</v>
      </c>
      <c r="C345" t="str">
        <f t="shared" si="10"/>
        <v>Wednesday-04-2023</v>
      </c>
      <c r="D345" t="s">
        <v>1035</v>
      </c>
      <c r="E345" t="s">
        <v>45</v>
      </c>
      <c r="F345" t="s">
        <v>36</v>
      </c>
      <c r="G345" t="s">
        <v>23</v>
      </c>
      <c r="H345" t="s">
        <v>16</v>
      </c>
      <c r="I345" s="3">
        <v>578</v>
      </c>
      <c r="J345" s="3">
        <v>57.864999999999995</v>
      </c>
      <c r="K345" t="s">
        <v>24</v>
      </c>
    </row>
    <row r="346" spans="1:11" x14ac:dyDescent="0.35">
      <c r="A346" t="s">
        <v>1036</v>
      </c>
      <c r="B346" t="s">
        <v>1037</v>
      </c>
      <c r="C346" t="str">
        <f t="shared" si="10"/>
        <v>Monday-12-2024</v>
      </c>
      <c r="D346" t="s">
        <v>1038</v>
      </c>
      <c r="E346" t="s">
        <v>45</v>
      </c>
      <c r="F346" t="s">
        <v>36</v>
      </c>
      <c r="G346" t="s">
        <v>15</v>
      </c>
      <c r="H346" t="s">
        <v>16</v>
      </c>
      <c r="I346" s="3">
        <v>1642</v>
      </c>
      <c r="J346" s="3">
        <v>0</v>
      </c>
      <c r="K346" t="s">
        <v>17</v>
      </c>
    </row>
    <row r="347" spans="1:11" x14ac:dyDescent="0.35">
      <c r="A347" t="s">
        <v>1039</v>
      </c>
      <c r="B347" t="s">
        <v>1040</v>
      </c>
      <c r="C347" t="str">
        <f t="shared" si="10"/>
        <v>11-26-2023</v>
      </c>
      <c r="E347" t="s">
        <v>45</v>
      </c>
      <c r="F347" t="s">
        <v>57</v>
      </c>
      <c r="G347" t="s">
        <v>15</v>
      </c>
      <c r="H347" t="s">
        <v>41</v>
      </c>
      <c r="I347" s="3">
        <v>4127</v>
      </c>
      <c r="J347" s="3">
        <v>0</v>
      </c>
      <c r="K347" t="s">
        <v>17</v>
      </c>
    </row>
    <row r="348" spans="1:11" x14ac:dyDescent="0.35">
      <c r="A348" t="s">
        <v>1041</v>
      </c>
      <c r="B348" t="s">
        <v>1042</v>
      </c>
      <c r="C348" t="str">
        <f t="shared" si="10"/>
        <v>Monday-10-2023</v>
      </c>
      <c r="D348" t="s">
        <v>1043</v>
      </c>
      <c r="E348" t="s">
        <v>28</v>
      </c>
      <c r="F348" t="s">
        <v>14</v>
      </c>
      <c r="G348" t="s">
        <v>30</v>
      </c>
      <c r="H348" t="s">
        <v>31</v>
      </c>
      <c r="I348" s="3">
        <v>3987</v>
      </c>
      <c r="J348" s="3">
        <v>797.57799999999997</v>
      </c>
      <c r="K348" t="s">
        <v>24</v>
      </c>
    </row>
    <row r="349" spans="1:11" x14ac:dyDescent="0.35">
      <c r="A349" t="s">
        <v>1044</v>
      </c>
      <c r="B349" t="s">
        <v>1045</v>
      </c>
      <c r="C349" t="str">
        <f t="shared" si="10"/>
        <v>Monday-02-2025</v>
      </c>
      <c r="D349" t="s">
        <v>462</v>
      </c>
      <c r="E349" t="s">
        <v>108</v>
      </c>
      <c r="F349" t="s">
        <v>143</v>
      </c>
      <c r="G349" t="s">
        <v>23</v>
      </c>
      <c r="H349" t="s">
        <v>41</v>
      </c>
      <c r="I349" s="3">
        <v>4369</v>
      </c>
      <c r="J349" s="3">
        <v>0</v>
      </c>
      <c r="K349" t="s">
        <v>24</v>
      </c>
    </row>
    <row r="350" spans="1:11" x14ac:dyDescent="0.35">
      <c r="A350" t="s">
        <v>1046</v>
      </c>
      <c r="B350" t="s">
        <v>1047</v>
      </c>
      <c r="C350" t="str">
        <f t="shared" si="10"/>
        <v>Wednesday-04-2023</v>
      </c>
      <c r="D350" t="s">
        <v>1048</v>
      </c>
      <c r="E350" t="s">
        <v>112</v>
      </c>
      <c r="F350" t="s">
        <v>29</v>
      </c>
      <c r="G350" t="s">
        <v>15</v>
      </c>
      <c r="H350" t="s">
        <v>41</v>
      </c>
      <c r="I350" s="3">
        <v>2498</v>
      </c>
      <c r="J350" s="3">
        <v>166.59799999999998</v>
      </c>
      <c r="K350" t="s">
        <v>37</v>
      </c>
    </row>
    <row r="351" spans="1:11" x14ac:dyDescent="0.35">
      <c r="A351" t="s">
        <v>1049</v>
      </c>
      <c r="B351" t="s">
        <v>1050</v>
      </c>
      <c r="C351" t="str">
        <f t="shared" si="10"/>
        <v>Friday-03-2025</v>
      </c>
      <c r="D351" t="s">
        <v>1051</v>
      </c>
      <c r="E351" t="s">
        <v>45</v>
      </c>
      <c r="F351" t="s">
        <v>14</v>
      </c>
      <c r="G351" t="s">
        <v>15</v>
      </c>
      <c r="H351" t="s">
        <v>16</v>
      </c>
      <c r="I351" s="3">
        <v>2249</v>
      </c>
      <c r="J351" s="3">
        <v>224.90500000000003</v>
      </c>
      <c r="K351" t="s">
        <v>37</v>
      </c>
    </row>
    <row r="352" spans="1:11" x14ac:dyDescent="0.35">
      <c r="A352" t="s">
        <v>1052</v>
      </c>
      <c r="B352" t="s">
        <v>1053</v>
      </c>
      <c r="C352" t="str">
        <f t="shared" si="10"/>
        <v>Wednesday-08-2023</v>
      </c>
      <c r="D352" t="s">
        <v>1054</v>
      </c>
      <c r="E352" t="s">
        <v>45</v>
      </c>
      <c r="F352" t="s">
        <v>22</v>
      </c>
      <c r="G352" t="s">
        <v>30</v>
      </c>
      <c r="H352" t="s">
        <v>31</v>
      </c>
      <c r="I352" s="3">
        <v>1759</v>
      </c>
      <c r="J352" s="3">
        <v>117.30333333333333</v>
      </c>
      <c r="K352" t="s">
        <v>37</v>
      </c>
    </row>
    <row r="353" spans="1:11" x14ac:dyDescent="0.35">
      <c r="A353" t="s">
        <v>1055</v>
      </c>
      <c r="B353" t="s">
        <v>1056</v>
      </c>
      <c r="C353" t="str">
        <f t="shared" si="10"/>
        <v>Sunday-08-2024</v>
      </c>
      <c r="D353" t="s">
        <v>1057</v>
      </c>
      <c r="E353" t="s">
        <v>13</v>
      </c>
      <c r="F353" t="s">
        <v>36</v>
      </c>
      <c r="G353" t="s">
        <v>30</v>
      </c>
      <c r="H353" t="s">
        <v>16</v>
      </c>
      <c r="I353" s="3">
        <v>2320</v>
      </c>
      <c r="J353" s="3">
        <v>0</v>
      </c>
      <c r="K353" t="s">
        <v>37</v>
      </c>
    </row>
    <row r="354" spans="1:11" x14ac:dyDescent="0.35">
      <c r="A354" t="s">
        <v>1058</v>
      </c>
      <c r="B354" t="s">
        <v>1059</v>
      </c>
      <c r="C354" t="str">
        <f t="shared" si="10"/>
        <v>Friday-03-2025</v>
      </c>
      <c r="D354" t="s">
        <v>1060</v>
      </c>
      <c r="E354" t="s">
        <v>269</v>
      </c>
      <c r="F354" t="s">
        <v>86</v>
      </c>
      <c r="G354" t="s">
        <v>23</v>
      </c>
      <c r="H354" t="s">
        <v>16</v>
      </c>
      <c r="I354" s="3">
        <v>3659</v>
      </c>
      <c r="J354" s="3">
        <v>0</v>
      </c>
      <c r="K354" t="s">
        <v>24</v>
      </c>
    </row>
    <row r="355" spans="1:11" x14ac:dyDescent="0.35">
      <c r="A355" t="s">
        <v>1061</v>
      </c>
      <c r="B355" t="s">
        <v>1062</v>
      </c>
      <c r="C355" t="str">
        <f t="shared" si="10"/>
        <v>11-26-2024</v>
      </c>
      <c r="D355" t="s">
        <v>172</v>
      </c>
      <c r="E355" t="s">
        <v>13</v>
      </c>
      <c r="F355" t="s">
        <v>22</v>
      </c>
      <c r="G355" t="s">
        <v>15</v>
      </c>
      <c r="H355" t="s">
        <v>41</v>
      </c>
      <c r="I355" s="3">
        <v>4352</v>
      </c>
      <c r="J355" s="3">
        <v>0</v>
      </c>
      <c r="K355" t="s">
        <v>37</v>
      </c>
    </row>
    <row r="356" spans="1:11" x14ac:dyDescent="0.35">
      <c r="A356" t="s">
        <v>1063</v>
      </c>
      <c r="C356" t="str">
        <f t="shared" si="10"/>
        <v>Saturday-01-1900</v>
      </c>
      <c r="D356" t="s">
        <v>1064</v>
      </c>
      <c r="E356" t="s">
        <v>375</v>
      </c>
      <c r="F356" t="s">
        <v>66</v>
      </c>
      <c r="G356" t="s">
        <v>23</v>
      </c>
      <c r="H356" t="s">
        <v>16</v>
      </c>
      <c r="I356" s="3">
        <v>3287</v>
      </c>
      <c r="J356" s="3">
        <v>657.47799999999995</v>
      </c>
      <c r="K356" t="s">
        <v>17</v>
      </c>
    </row>
    <row r="357" spans="1:11" x14ac:dyDescent="0.35">
      <c r="A357" t="s">
        <v>1065</v>
      </c>
      <c r="B357" t="s">
        <v>1066</v>
      </c>
      <c r="C357" t="str">
        <f t="shared" si="10"/>
        <v>12-13-2023 12:30</v>
      </c>
      <c r="D357" t="s">
        <v>1067</v>
      </c>
      <c r="E357" t="s">
        <v>13</v>
      </c>
      <c r="F357" t="s">
        <v>86</v>
      </c>
      <c r="G357" t="s">
        <v>30</v>
      </c>
      <c r="H357" t="s">
        <v>41</v>
      </c>
      <c r="I357" s="3">
        <v>3022</v>
      </c>
      <c r="J357" s="3">
        <v>151.1045</v>
      </c>
      <c r="K357" t="s">
        <v>17</v>
      </c>
    </row>
    <row r="358" spans="1:11" x14ac:dyDescent="0.35">
      <c r="A358" t="s">
        <v>1068</v>
      </c>
      <c r="B358" t="s">
        <v>1069</v>
      </c>
      <c r="C358" t="str">
        <f t="shared" si="10"/>
        <v>Sunday-02-2023</v>
      </c>
      <c r="D358" t="s">
        <v>1070</v>
      </c>
      <c r="E358" t="s">
        <v>28</v>
      </c>
      <c r="F358" t="s">
        <v>36</v>
      </c>
      <c r="G358" t="s">
        <v>30</v>
      </c>
      <c r="H358" t="s">
        <v>41</v>
      </c>
      <c r="I358" s="3">
        <v>4027</v>
      </c>
      <c r="J358" s="3">
        <v>0</v>
      </c>
      <c r="K358" t="s">
        <v>17</v>
      </c>
    </row>
    <row r="359" spans="1:11" x14ac:dyDescent="0.35">
      <c r="A359" t="s">
        <v>1071</v>
      </c>
      <c r="B359" t="s">
        <v>528</v>
      </c>
      <c r="C359" t="str">
        <f t="shared" si="10"/>
        <v>08-27-2024</v>
      </c>
      <c r="D359" t="s">
        <v>380</v>
      </c>
      <c r="E359" t="s">
        <v>53</v>
      </c>
      <c r="F359" t="s">
        <v>22</v>
      </c>
      <c r="G359" t="s">
        <v>23</v>
      </c>
      <c r="H359" t="s">
        <v>16</v>
      </c>
      <c r="I359" s="3">
        <v>4574</v>
      </c>
      <c r="J359" s="3">
        <v>0</v>
      </c>
      <c r="K359" t="s">
        <v>37</v>
      </c>
    </row>
    <row r="360" spans="1:11" x14ac:dyDescent="0.35">
      <c r="A360" t="s">
        <v>1072</v>
      </c>
      <c r="B360" t="s">
        <v>1073</v>
      </c>
      <c r="C360" t="str">
        <f t="shared" si="10"/>
        <v xml:space="preserve"> 25-Feb-2023</v>
      </c>
      <c r="D360" t="s">
        <v>1074</v>
      </c>
      <c r="E360" t="s">
        <v>108</v>
      </c>
      <c r="F360" t="s">
        <v>66</v>
      </c>
      <c r="G360" t="s">
        <v>30</v>
      </c>
      <c r="H360" t="s">
        <v>16</v>
      </c>
      <c r="I360" s="3">
        <v>1556</v>
      </c>
      <c r="J360" s="3">
        <v>77.81</v>
      </c>
      <c r="K360" t="s">
        <v>17</v>
      </c>
    </row>
    <row r="361" spans="1:11" x14ac:dyDescent="0.35">
      <c r="A361" t="s">
        <v>1075</v>
      </c>
      <c r="B361" t="s">
        <v>26</v>
      </c>
      <c r="C361" t="str">
        <f t="shared" si="10"/>
        <v>Thursday-08-2023</v>
      </c>
      <c r="E361" t="s">
        <v>108</v>
      </c>
      <c r="F361" t="s">
        <v>14</v>
      </c>
      <c r="G361" t="s">
        <v>15</v>
      </c>
      <c r="H361" t="s">
        <v>16</v>
      </c>
      <c r="I361" s="3">
        <v>4939</v>
      </c>
      <c r="J361" s="3">
        <v>987.98199999999997</v>
      </c>
      <c r="K361" t="s">
        <v>17</v>
      </c>
    </row>
    <row r="362" spans="1:11" x14ac:dyDescent="0.35">
      <c r="A362" t="s">
        <v>1076</v>
      </c>
      <c r="B362" t="s">
        <v>1077</v>
      </c>
      <c r="C362" t="str">
        <f t="shared" si="10"/>
        <v>Tuesday-01-2023</v>
      </c>
      <c r="D362" t="s">
        <v>1078</v>
      </c>
      <c r="E362" t="s">
        <v>35</v>
      </c>
      <c r="F362" t="s">
        <v>22</v>
      </c>
      <c r="G362" t="s">
        <v>15</v>
      </c>
      <c r="H362" t="s">
        <v>41</v>
      </c>
      <c r="I362" s="3">
        <v>3517</v>
      </c>
      <c r="J362" s="3">
        <v>175.857</v>
      </c>
      <c r="K362" t="s">
        <v>17</v>
      </c>
    </row>
    <row r="363" spans="1:11" x14ac:dyDescent="0.35">
      <c r="A363" t="s">
        <v>1079</v>
      </c>
      <c r="B363" t="s">
        <v>1080</v>
      </c>
      <c r="C363" t="str">
        <f t="shared" si="10"/>
        <v>Wednesday-11-2024</v>
      </c>
      <c r="D363" t="s">
        <v>1081</v>
      </c>
      <c r="E363" t="s">
        <v>49</v>
      </c>
      <c r="F363" t="s">
        <v>99</v>
      </c>
      <c r="G363" t="s">
        <v>23</v>
      </c>
      <c r="H363" t="s">
        <v>41</v>
      </c>
      <c r="I363" s="3">
        <v>2833</v>
      </c>
      <c r="J363" s="3">
        <v>566.71800000000007</v>
      </c>
      <c r="K363" t="s">
        <v>37</v>
      </c>
    </row>
    <row r="364" spans="1:11" x14ac:dyDescent="0.35">
      <c r="A364" t="s">
        <v>1082</v>
      </c>
      <c r="B364" t="s">
        <v>1083</v>
      </c>
      <c r="C364" t="str">
        <f t="shared" si="10"/>
        <v>Wednesday-01-2024</v>
      </c>
      <c r="D364" t="s">
        <v>1084</v>
      </c>
      <c r="E364" t="s">
        <v>108</v>
      </c>
      <c r="F364" t="s">
        <v>22</v>
      </c>
      <c r="G364" t="s">
        <v>30</v>
      </c>
      <c r="H364" t="s">
        <v>16</v>
      </c>
      <c r="I364" s="3">
        <v>1473</v>
      </c>
      <c r="J364" s="3">
        <v>98.204666666666668</v>
      </c>
      <c r="K364" t="s">
        <v>24</v>
      </c>
    </row>
    <row r="365" spans="1:11" x14ac:dyDescent="0.35">
      <c r="A365" t="s">
        <v>1085</v>
      </c>
      <c r="B365" t="s">
        <v>1086</v>
      </c>
      <c r="C365" t="str">
        <f t="shared" si="10"/>
        <v>Tuesday-04-2024</v>
      </c>
      <c r="D365" t="s">
        <v>1087</v>
      </c>
      <c r="E365" t="s">
        <v>103</v>
      </c>
      <c r="F365" t="s">
        <v>29</v>
      </c>
      <c r="G365" t="s">
        <v>23</v>
      </c>
      <c r="H365" t="s">
        <v>41</v>
      </c>
      <c r="I365" s="3">
        <v>3236</v>
      </c>
      <c r="J365" s="3">
        <v>0</v>
      </c>
      <c r="K365" t="s">
        <v>37</v>
      </c>
    </row>
    <row r="366" spans="1:11" x14ac:dyDescent="0.35">
      <c r="A366" t="s">
        <v>1088</v>
      </c>
      <c r="B366" t="s">
        <v>1089</v>
      </c>
      <c r="C366" t="str">
        <f t="shared" si="10"/>
        <v>Tuesday-07-2024</v>
      </c>
      <c r="D366" t="s">
        <v>1090</v>
      </c>
      <c r="E366" t="s">
        <v>112</v>
      </c>
      <c r="F366" t="s">
        <v>22</v>
      </c>
      <c r="G366" t="s">
        <v>15</v>
      </c>
      <c r="H366" t="s">
        <v>16</v>
      </c>
      <c r="I366" s="3">
        <v>2932</v>
      </c>
      <c r="J366" s="3">
        <v>586.48800000000006</v>
      </c>
      <c r="K366" t="s">
        <v>37</v>
      </c>
    </row>
    <row r="367" spans="1:11" x14ac:dyDescent="0.35">
      <c r="A367" t="s">
        <v>1091</v>
      </c>
      <c r="B367" t="s">
        <v>1092</v>
      </c>
      <c r="C367" t="str">
        <f t="shared" si="10"/>
        <v>Saturday-08-2023</v>
      </c>
      <c r="D367" t="s">
        <v>1093</v>
      </c>
      <c r="E367" t="s">
        <v>103</v>
      </c>
      <c r="F367" t="s">
        <v>14</v>
      </c>
      <c r="G367" t="s">
        <v>30</v>
      </c>
      <c r="H367" t="s">
        <v>41</v>
      </c>
      <c r="I367" s="3">
        <v>3922</v>
      </c>
      <c r="J367" s="3">
        <v>784.58600000000001</v>
      </c>
      <c r="K367" t="s">
        <v>24</v>
      </c>
    </row>
    <row r="368" spans="1:11" x14ac:dyDescent="0.35">
      <c r="A368" t="s">
        <v>1094</v>
      </c>
      <c r="B368" t="s">
        <v>1095</v>
      </c>
      <c r="C368" t="str">
        <f t="shared" si="10"/>
        <v>Friday-03-2024</v>
      </c>
      <c r="D368" t="s">
        <v>1096</v>
      </c>
      <c r="E368" t="s">
        <v>112</v>
      </c>
      <c r="F368" t="s">
        <v>66</v>
      </c>
      <c r="G368" t="s">
        <v>30</v>
      </c>
      <c r="H368" t="s">
        <v>16</v>
      </c>
      <c r="I368" s="3">
        <v>744</v>
      </c>
      <c r="J368" s="3">
        <v>0</v>
      </c>
      <c r="K368" t="s">
        <v>24</v>
      </c>
    </row>
    <row r="369" spans="1:11" x14ac:dyDescent="0.35">
      <c r="A369" t="s">
        <v>1097</v>
      </c>
      <c r="B369" t="s">
        <v>1098</v>
      </c>
      <c r="C369" t="str">
        <f t="shared" si="10"/>
        <v>Monday-06-2024</v>
      </c>
      <c r="D369" t="s">
        <v>1099</v>
      </c>
      <c r="E369" t="s">
        <v>103</v>
      </c>
      <c r="F369" t="s">
        <v>86</v>
      </c>
      <c r="G369" t="s">
        <v>30</v>
      </c>
      <c r="H369" t="s">
        <v>41</v>
      </c>
      <c r="I369" s="3">
        <v>219</v>
      </c>
      <c r="J369" s="3">
        <v>10.968</v>
      </c>
      <c r="K369" t="s">
        <v>17</v>
      </c>
    </row>
    <row r="370" spans="1:11" x14ac:dyDescent="0.35">
      <c r="A370" t="s">
        <v>1100</v>
      </c>
      <c r="B370" t="s">
        <v>1101</v>
      </c>
      <c r="C370" t="str">
        <f t="shared" si="10"/>
        <v>Thursday-04-2024</v>
      </c>
      <c r="D370" t="s">
        <v>1102</v>
      </c>
      <c r="E370" t="s">
        <v>49</v>
      </c>
      <c r="F370" t="s">
        <v>62</v>
      </c>
      <c r="G370" t="s">
        <v>23</v>
      </c>
      <c r="H370" t="s">
        <v>16</v>
      </c>
      <c r="I370" s="3">
        <v>4500</v>
      </c>
      <c r="J370" s="3">
        <v>450.09</v>
      </c>
      <c r="K370" t="s">
        <v>37</v>
      </c>
    </row>
    <row r="371" spans="1:11" x14ac:dyDescent="0.35">
      <c r="A371" t="s">
        <v>1103</v>
      </c>
      <c r="B371" t="s">
        <v>1104</v>
      </c>
      <c r="C371" t="str">
        <f t="shared" si="10"/>
        <v>10-18-2024</v>
      </c>
      <c r="D371" t="s">
        <v>1105</v>
      </c>
      <c r="E371" t="s">
        <v>103</v>
      </c>
      <c r="F371" t="s">
        <v>86</v>
      </c>
      <c r="G371" t="s">
        <v>30</v>
      </c>
      <c r="H371" t="s">
        <v>41</v>
      </c>
      <c r="I371" s="3">
        <v>4974</v>
      </c>
      <c r="J371" s="3">
        <v>994.9</v>
      </c>
      <c r="K371" t="s">
        <v>17</v>
      </c>
    </row>
    <row r="372" spans="1:11" x14ac:dyDescent="0.35">
      <c r="A372" t="s">
        <v>1106</v>
      </c>
      <c r="B372" t="s">
        <v>1107</v>
      </c>
      <c r="C372" t="str">
        <f t="shared" si="10"/>
        <v>05-23-2023</v>
      </c>
      <c r="D372" t="s">
        <v>1108</v>
      </c>
      <c r="E372" t="s">
        <v>13</v>
      </c>
      <c r="F372" t="s">
        <v>29</v>
      </c>
      <c r="G372" t="s">
        <v>15</v>
      </c>
      <c r="H372" t="s">
        <v>16</v>
      </c>
      <c r="I372" s="3">
        <v>395</v>
      </c>
      <c r="J372" s="3">
        <v>79.025999999999996</v>
      </c>
      <c r="K372" t="s">
        <v>37</v>
      </c>
    </row>
    <row r="373" spans="1:11" x14ac:dyDescent="0.35">
      <c r="A373" t="s">
        <v>1109</v>
      </c>
      <c r="B373" t="s">
        <v>1110</v>
      </c>
      <c r="C373" t="str">
        <f t="shared" si="10"/>
        <v>Tuesday-04-2025</v>
      </c>
      <c r="D373" t="s">
        <v>1111</v>
      </c>
      <c r="E373" t="s">
        <v>103</v>
      </c>
      <c r="F373" t="s">
        <v>29</v>
      </c>
      <c r="G373" t="s">
        <v>30</v>
      </c>
      <c r="H373" t="s">
        <v>16</v>
      </c>
      <c r="I373" s="3">
        <v>1715</v>
      </c>
      <c r="J373" s="3">
        <v>0</v>
      </c>
      <c r="K373" t="s">
        <v>37</v>
      </c>
    </row>
    <row r="374" spans="1:11" x14ac:dyDescent="0.35">
      <c r="A374" t="s">
        <v>1112</v>
      </c>
      <c r="B374" t="s">
        <v>1113</v>
      </c>
      <c r="C374" t="str">
        <f t="shared" si="10"/>
        <v>Monday-09-2024</v>
      </c>
      <c r="D374" t="s">
        <v>1114</v>
      </c>
      <c r="E374" t="s">
        <v>108</v>
      </c>
      <c r="F374" t="s">
        <v>99</v>
      </c>
      <c r="G374" t="s">
        <v>15</v>
      </c>
      <c r="H374" t="s">
        <v>31</v>
      </c>
      <c r="I374" s="3">
        <v>4791</v>
      </c>
      <c r="J374" s="3">
        <v>479.12900000000002</v>
      </c>
      <c r="K374" t="s">
        <v>37</v>
      </c>
    </row>
    <row r="375" spans="1:11" x14ac:dyDescent="0.35">
      <c r="A375" t="s">
        <v>1115</v>
      </c>
      <c r="B375" t="s">
        <v>1116</v>
      </c>
      <c r="C375" t="str">
        <f t="shared" si="10"/>
        <v>Tuesday-08-2024</v>
      </c>
      <c r="D375" t="s">
        <v>1117</v>
      </c>
      <c r="E375" t="s">
        <v>28</v>
      </c>
      <c r="F375" t="s">
        <v>22</v>
      </c>
      <c r="G375" t="s">
        <v>30</v>
      </c>
      <c r="H375" t="s">
        <v>41</v>
      </c>
      <c r="I375" s="3">
        <v>1259</v>
      </c>
      <c r="J375" s="3">
        <v>0</v>
      </c>
      <c r="K375" t="s">
        <v>37</v>
      </c>
    </row>
    <row r="376" spans="1:11" x14ac:dyDescent="0.35">
      <c r="A376" t="s">
        <v>1118</v>
      </c>
      <c r="B376" t="s">
        <v>1119</v>
      </c>
      <c r="C376" t="str">
        <f t="shared" si="10"/>
        <v>Wednesday-08-2023</v>
      </c>
      <c r="D376" t="s">
        <v>1120</v>
      </c>
      <c r="E376" t="s">
        <v>45</v>
      </c>
      <c r="F376" t="s">
        <v>86</v>
      </c>
      <c r="G376" t="s">
        <v>15</v>
      </c>
      <c r="H376" t="s">
        <v>41</v>
      </c>
      <c r="I376" s="3">
        <v>4331</v>
      </c>
      <c r="J376" s="3">
        <v>0</v>
      </c>
      <c r="K376" t="s">
        <v>17</v>
      </c>
    </row>
    <row r="377" spans="1:11" x14ac:dyDescent="0.35">
      <c r="A377" t="s">
        <v>1121</v>
      </c>
      <c r="B377" t="s">
        <v>1122</v>
      </c>
      <c r="C377" t="str">
        <f t="shared" si="10"/>
        <v>02-26-2023 10:38</v>
      </c>
      <c r="D377" t="s">
        <v>1123</v>
      </c>
      <c r="E377" t="s">
        <v>61</v>
      </c>
      <c r="F377" t="s">
        <v>14</v>
      </c>
      <c r="G377" t="s">
        <v>23</v>
      </c>
      <c r="H377" t="s">
        <v>16</v>
      </c>
      <c r="I377" s="3">
        <v>1680</v>
      </c>
      <c r="J377" s="3">
        <v>0</v>
      </c>
      <c r="K377" t="s">
        <v>17</v>
      </c>
    </row>
    <row r="378" spans="1:11" x14ac:dyDescent="0.35">
      <c r="A378" t="s">
        <v>1124</v>
      </c>
      <c r="B378" t="s">
        <v>1125</v>
      </c>
      <c r="C378" t="str">
        <f t="shared" si="10"/>
        <v xml:space="preserve"> 02-01-2025 01:10</v>
      </c>
      <c r="D378" t="s">
        <v>1126</v>
      </c>
      <c r="E378" t="s">
        <v>28</v>
      </c>
      <c r="F378" t="s">
        <v>86</v>
      </c>
      <c r="G378" t="s">
        <v>30</v>
      </c>
      <c r="H378" t="s">
        <v>41</v>
      </c>
      <c r="I378" s="3">
        <v>2774</v>
      </c>
      <c r="J378" s="3">
        <v>0</v>
      </c>
      <c r="K378" t="s">
        <v>17</v>
      </c>
    </row>
    <row r="379" spans="1:11" x14ac:dyDescent="0.35">
      <c r="A379" t="s">
        <v>1127</v>
      </c>
      <c r="B379" t="s">
        <v>1128</v>
      </c>
      <c r="C379" t="str">
        <f t="shared" si="10"/>
        <v>Monday-05-2023</v>
      </c>
      <c r="D379" t="s">
        <v>1129</v>
      </c>
      <c r="E379" t="s">
        <v>13</v>
      </c>
      <c r="F379" t="s">
        <v>62</v>
      </c>
      <c r="G379" t="s">
        <v>30</v>
      </c>
      <c r="H379" t="s">
        <v>41</v>
      </c>
      <c r="I379" s="3">
        <v>3111</v>
      </c>
      <c r="J379" s="3">
        <v>622.20799999999997</v>
      </c>
      <c r="K379" t="s">
        <v>24</v>
      </c>
    </row>
    <row r="380" spans="1:11" x14ac:dyDescent="0.35">
      <c r="A380" t="s">
        <v>1130</v>
      </c>
      <c r="B380" t="s">
        <v>1131</v>
      </c>
      <c r="C380" t="str">
        <f t="shared" si="10"/>
        <v>11-22-2023</v>
      </c>
      <c r="D380" t="s">
        <v>1132</v>
      </c>
      <c r="E380" t="s">
        <v>35</v>
      </c>
      <c r="F380" t="s">
        <v>36</v>
      </c>
      <c r="G380" t="s">
        <v>15</v>
      </c>
      <c r="H380" t="s">
        <v>41</v>
      </c>
      <c r="I380" s="3">
        <v>222</v>
      </c>
      <c r="J380" s="3">
        <v>44.472000000000001</v>
      </c>
      <c r="K380" t="s">
        <v>17</v>
      </c>
    </row>
    <row r="381" spans="1:11" x14ac:dyDescent="0.35">
      <c r="A381" t="s">
        <v>1133</v>
      </c>
      <c r="B381" t="s">
        <v>1134</v>
      </c>
      <c r="C381" t="str">
        <f t="shared" si="10"/>
        <v>Sunday-02-2024</v>
      </c>
      <c r="D381" t="s">
        <v>1135</v>
      </c>
      <c r="E381" t="s">
        <v>108</v>
      </c>
      <c r="F381" t="s">
        <v>62</v>
      </c>
      <c r="G381" t="s">
        <v>23</v>
      </c>
      <c r="H381" t="s">
        <v>31</v>
      </c>
      <c r="I381" s="3">
        <v>104</v>
      </c>
      <c r="J381" s="3">
        <v>6.945333333333334</v>
      </c>
      <c r="K381" t="s">
        <v>17</v>
      </c>
    </row>
    <row r="382" spans="1:11" x14ac:dyDescent="0.35">
      <c r="A382" t="s">
        <v>1136</v>
      </c>
      <c r="B382" t="s">
        <v>1137</v>
      </c>
      <c r="C382" t="str">
        <f t="shared" si="10"/>
        <v>Friday-09-2023</v>
      </c>
      <c r="D382" t="s">
        <v>826</v>
      </c>
      <c r="E382" t="s">
        <v>112</v>
      </c>
      <c r="F382" t="s">
        <v>86</v>
      </c>
      <c r="G382" t="s">
        <v>23</v>
      </c>
      <c r="H382" t="s">
        <v>41</v>
      </c>
      <c r="I382" s="3">
        <v>2702</v>
      </c>
      <c r="J382" s="3">
        <v>0</v>
      </c>
      <c r="K382" t="s">
        <v>24</v>
      </c>
    </row>
    <row r="383" spans="1:11" x14ac:dyDescent="0.35">
      <c r="A383" t="s">
        <v>1138</v>
      </c>
      <c r="B383" t="s">
        <v>1139</v>
      </c>
      <c r="C383" t="str">
        <f t="shared" si="10"/>
        <v xml:space="preserve"> 04-Aug-2024 22:53</v>
      </c>
      <c r="D383" t="s">
        <v>1140</v>
      </c>
      <c r="E383" t="s">
        <v>21</v>
      </c>
      <c r="F383" t="s">
        <v>29</v>
      </c>
      <c r="G383" t="s">
        <v>15</v>
      </c>
      <c r="H383" t="s">
        <v>41</v>
      </c>
      <c r="I383" s="3">
        <v>2638</v>
      </c>
      <c r="J383" s="3">
        <v>0</v>
      </c>
      <c r="K383" t="s">
        <v>24</v>
      </c>
    </row>
    <row r="384" spans="1:11" x14ac:dyDescent="0.35">
      <c r="A384" t="s">
        <v>1141</v>
      </c>
      <c r="B384" t="s">
        <v>1142</v>
      </c>
      <c r="C384" t="str">
        <f t="shared" si="10"/>
        <v>Saturday-01-2025</v>
      </c>
      <c r="D384" t="s">
        <v>1143</v>
      </c>
      <c r="E384" t="s">
        <v>108</v>
      </c>
      <c r="F384" t="s">
        <v>29</v>
      </c>
      <c r="G384" t="s">
        <v>15</v>
      </c>
      <c r="H384" t="s">
        <v>16</v>
      </c>
      <c r="I384" s="3">
        <v>1868</v>
      </c>
      <c r="J384" s="3">
        <v>93.400999999999996</v>
      </c>
      <c r="K384" t="s">
        <v>24</v>
      </c>
    </row>
    <row r="385" spans="1:11" x14ac:dyDescent="0.35">
      <c r="A385" t="s">
        <v>1144</v>
      </c>
      <c r="B385" t="s">
        <v>1145</v>
      </c>
      <c r="C385" t="str">
        <f t="shared" si="10"/>
        <v xml:space="preserve"> 11/08/2024</v>
      </c>
      <c r="D385" t="s">
        <v>1146</v>
      </c>
      <c r="E385" t="s">
        <v>45</v>
      </c>
      <c r="F385" t="s">
        <v>22</v>
      </c>
      <c r="G385" t="s">
        <v>30</v>
      </c>
      <c r="H385" t="s">
        <v>16</v>
      </c>
      <c r="I385" s="3">
        <v>434</v>
      </c>
      <c r="J385" s="3">
        <v>86.915999999999997</v>
      </c>
      <c r="K385" t="s">
        <v>17</v>
      </c>
    </row>
    <row r="386" spans="1:11" x14ac:dyDescent="0.35">
      <c r="A386" t="s">
        <v>1147</v>
      </c>
      <c r="B386" t="s">
        <v>1148</v>
      </c>
      <c r="C386" t="str">
        <f t="shared" si="10"/>
        <v>Friday-02-2025</v>
      </c>
      <c r="D386" t="s">
        <v>1149</v>
      </c>
      <c r="E386" t="s">
        <v>53</v>
      </c>
      <c r="F386" t="s">
        <v>14</v>
      </c>
      <c r="G386" t="s">
        <v>30</v>
      </c>
      <c r="H386" t="s">
        <v>16</v>
      </c>
      <c r="I386" s="3">
        <v>1120</v>
      </c>
      <c r="J386" s="3">
        <v>0</v>
      </c>
      <c r="K386" t="s">
        <v>24</v>
      </c>
    </row>
    <row r="387" spans="1:11" x14ac:dyDescent="0.35">
      <c r="A387" t="s">
        <v>1150</v>
      </c>
      <c r="B387" t="s">
        <v>1151</v>
      </c>
      <c r="C387" t="str">
        <f t="shared" ref="C387:C450" si="11">TEXT(B387,"dddd-mm-yyyy")</f>
        <v>10-14-2023</v>
      </c>
      <c r="D387" t="s">
        <v>1152</v>
      </c>
      <c r="E387" t="s">
        <v>13</v>
      </c>
      <c r="F387" t="s">
        <v>22</v>
      </c>
      <c r="G387" t="s">
        <v>15</v>
      </c>
      <c r="H387" t="s">
        <v>41</v>
      </c>
      <c r="I387" s="3">
        <v>609</v>
      </c>
      <c r="J387" s="3">
        <v>60.971000000000004</v>
      </c>
      <c r="K387" t="s">
        <v>17</v>
      </c>
    </row>
    <row r="388" spans="1:11" x14ac:dyDescent="0.35">
      <c r="A388" t="s">
        <v>1153</v>
      </c>
      <c r="B388" t="s">
        <v>1154</v>
      </c>
      <c r="C388" t="str">
        <f t="shared" si="11"/>
        <v>04-15-2025 09:59</v>
      </c>
      <c r="D388" t="s">
        <v>356</v>
      </c>
      <c r="E388" t="s">
        <v>45</v>
      </c>
      <c r="F388" t="s">
        <v>36</v>
      </c>
      <c r="G388" t="s">
        <v>15</v>
      </c>
      <c r="H388" t="s">
        <v>16</v>
      </c>
      <c r="I388" s="3">
        <v>4254</v>
      </c>
      <c r="J388" s="3">
        <v>425.42600000000004</v>
      </c>
      <c r="K388" t="s">
        <v>37</v>
      </c>
    </row>
    <row r="389" spans="1:11" x14ac:dyDescent="0.35">
      <c r="A389" t="s">
        <v>1155</v>
      </c>
      <c r="B389" t="s">
        <v>893</v>
      </c>
      <c r="C389" t="str">
        <f t="shared" si="11"/>
        <v>Friday-04-2023</v>
      </c>
      <c r="D389" t="s">
        <v>1156</v>
      </c>
      <c r="E389" t="s">
        <v>79</v>
      </c>
      <c r="F389" t="s">
        <v>36</v>
      </c>
      <c r="G389" t="s">
        <v>23</v>
      </c>
      <c r="H389" t="s">
        <v>31</v>
      </c>
      <c r="I389" s="3">
        <v>4722</v>
      </c>
      <c r="J389" s="3">
        <v>472.25400000000002</v>
      </c>
      <c r="K389" t="s">
        <v>17</v>
      </c>
    </row>
    <row r="390" spans="1:11" x14ac:dyDescent="0.35">
      <c r="A390" t="s">
        <v>1157</v>
      </c>
      <c r="C390" t="str">
        <f t="shared" si="11"/>
        <v>Saturday-01-1900</v>
      </c>
      <c r="D390" t="s">
        <v>1158</v>
      </c>
      <c r="E390" t="s">
        <v>45</v>
      </c>
      <c r="F390" t="s">
        <v>86</v>
      </c>
      <c r="G390" t="s">
        <v>30</v>
      </c>
      <c r="H390" t="s">
        <v>41</v>
      </c>
      <c r="I390" s="3">
        <v>1565</v>
      </c>
      <c r="J390" s="3">
        <v>104.33666666666666</v>
      </c>
      <c r="K390" t="s">
        <v>37</v>
      </c>
    </row>
    <row r="391" spans="1:11" x14ac:dyDescent="0.35">
      <c r="A391" t="s">
        <v>1159</v>
      </c>
      <c r="C391" t="str">
        <f t="shared" si="11"/>
        <v>Saturday-01-1900</v>
      </c>
      <c r="D391" t="s">
        <v>1160</v>
      </c>
      <c r="E391" t="s">
        <v>13</v>
      </c>
      <c r="F391" t="s">
        <v>29</v>
      </c>
      <c r="G391" t="s">
        <v>30</v>
      </c>
      <c r="H391" t="s">
        <v>16</v>
      </c>
      <c r="I391" s="3">
        <v>867</v>
      </c>
      <c r="J391" s="3">
        <v>173.54000000000002</v>
      </c>
      <c r="K391" t="s">
        <v>17</v>
      </c>
    </row>
    <row r="392" spans="1:11" x14ac:dyDescent="0.35">
      <c r="A392" t="s">
        <v>1161</v>
      </c>
      <c r="B392" t="s">
        <v>1162</v>
      </c>
      <c r="C392" t="str">
        <f t="shared" si="11"/>
        <v>Tuesday-04-2025</v>
      </c>
      <c r="D392" t="s">
        <v>1163</v>
      </c>
      <c r="E392" t="s">
        <v>35</v>
      </c>
      <c r="F392" t="s">
        <v>143</v>
      </c>
      <c r="G392" t="s">
        <v>30</v>
      </c>
      <c r="H392" t="s">
        <v>41</v>
      </c>
      <c r="I392" s="3">
        <v>628</v>
      </c>
      <c r="J392" s="3">
        <v>31.419499999999999</v>
      </c>
      <c r="K392" t="s">
        <v>37</v>
      </c>
    </row>
    <row r="393" spans="1:11" x14ac:dyDescent="0.35">
      <c r="A393" t="s">
        <v>1164</v>
      </c>
      <c r="B393" t="s">
        <v>1165</v>
      </c>
      <c r="C393" t="str">
        <f t="shared" si="11"/>
        <v>Thursday-02-2023</v>
      </c>
      <c r="D393" t="s">
        <v>1166</v>
      </c>
      <c r="E393" t="s">
        <v>79</v>
      </c>
      <c r="F393" t="s">
        <v>86</v>
      </c>
      <c r="G393" t="s">
        <v>30</v>
      </c>
      <c r="H393" t="s">
        <v>41</v>
      </c>
      <c r="I393" s="3">
        <v>3795</v>
      </c>
      <c r="J393" s="3">
        <v>379.58299999999997</v>
      </c>
      <c r="K393" t="s">
        <v>37</v>
      </c>
    </row>
    <row r="394" spans="1:11" x14ac:dyDescent="0.35">
      <c r="A394" t="s">
        <v>1167</v>
      </c>
      <c r="B394" t="s">
        <v>1168</v>
      </c>
      <c r="C394" t="str">
        <f t="shared" si="11"/>
        <v xml:space="preserve"> 2023-10-28</v>
      </c>
      <c r="D394" t="s">
        <v>1169</v>
      </c>
      <c r="E394" t="s">
        <v>28</v>
      </c>
      <c r="F394" t="s">
        <v>29</v>
      </c>
      <c r="G394" t="s">
        <v>23</v>
      </c>
      <c r="H394" t="s">
        <v>16</v>
      </c>
      <c r="I394" s="3">
        <v>520</v>
      </c>
      <c r="J394" s="3">
        <v>104.03399999999999</v>
      </c>
      <c r="K394" t="s">
        <v>37</v>
      </c>
    </row>
    <row r="395" spans="1:11" x14ac:dyDescent="0.35">
      <c r="A395" t="s">
        <v>1170</v>
      </c>
      <c r="C395" t="str">
        <f t="shared" si="11"/>
        <v>Saturday-01-1900</v>
      </c>
      <c r="D395" t="s">
        <v>1171</v>
      </c>
      <c r="E395" t="s">
        <v>112</v>
      </c>
      <c r="F395" t="s">
        <v>86</v>
      </c>
      <c r="G395" t="s">
        <v>23</v>
      </c>
      <c r="H395" t="s">
        <v>31</v>
      </c>
      <c r="I395" s="3">
        <v>963</v>
      </c>
      <c r="J395" s="3">
        <v>64.227333333333334</v>
      </c>
      <c r="K395" t="s">
        <v>17</v>
      </c>
    </row>
    <row r="396" spans="1:11" x14ac:dyDescent="0.35">
      <c r="A396" t="s">
        <v>1172</v>
      </c>
      <c r="B396" t="s">
        <v>1173</v>
      </c>
      <c r="C396" t="str">
        <f t="shared" si="11"/>
        <v>02-26-2025</v>
      </c>
      <c r="E396" t="s">
        <v>28</v>
      </c>
      <c r="F396" t="s">
        <v>66</v>
      </c>
      <c r="G396" t="s">
        <v>15</v>
      </c>
      <c r="H396" t="s">
        <v>31</v>
      </c>
      <c r="I396" s="3">
        <v>1688</v>
      </c>
      <c r="J396" s="3">
        <v>112.54733333333334</v>
      </c>
      <c r="K396" t="s">
        <v>37</v>
      </c>
    </row>
    <row r="397" spans="1:11" x14ac:dyDescent="0.35">
      <c r="A397" t="s">
        <v>1174</v>
      </c>
      <c r="B397" t="s">
        <v>1175</v>
      </c>
      <c r="C397" t="str">
        <f t="shared" si="11"/>
        <v>Thursday-07-2023</v>
      </c>
      <c r="D397" t="s">
        <v>1176</v>
      </c>
      <c r="E397" t="s">
        <v>108</v>
      </c>
      <c r="F397" t="s">
        <v>29</v>
      </c>
      <c r="G397" t="s">
        <v>30</v>
      </c>
      <c r="H397" t="s">
        <v>31</v>
      </c>
      <c r="I397" s="3">
        <v>2578</v>
      </c>
      <c r="J397" s="3">
        <v>171.88200000000001</v>
      </c>
      <c r="K397" t="s">
        <v>37</v>
      </c>
    </row>
    <row r="398" spans="1:11" x14ac:dyDescent="0.35">
      <c r="A398" t="s">
        <v>1177</v>
      </c>
      <c r="B398" t="s">
        <v>1178</v>
      </c>
      <c r="C398" t="str">
        <f t="shared" si="11"/>
        <v>Thursday-10-2023</v>
      </c>
      <c r="D398" t="s">
        <v>1179</v>
      </c>
      <c r="E398" t="s">
        <v>49</v>
      </c>
      <c r="F398" t="s">
        <v>22</v>
      </c>
      <c r="G398" t="s">
        <v>15</v>
      </c>
      <c r="H398" t="s">
        <v>16</v>
      </c>
      <c r="I398" s="3">
        <v>2083</v>
      </c>
      <c r="J398" s="3">
        <v>0</v>
      </c>
      <c r="K398" t="s">
        <v>24</v>
      </c>
    </row>
    <row r="399" spans="1:11" x14ac:dyDescent="0.35">
      <c r="A399" t="s">
        <v>1180</v>
      </c>
      <c r="B399" t="s">
        <v>1181</v>
      </c>
      <c r="C399" t="str">
        <f t="shared" si="11"/>
        <v>Thursday-10-2024</v>
      </c>
      <c r="D399" t="s">
        <v>1182</v>
      </c>
      <c r="E399" t="s">
        <v>45</v>
      </c>
      <c r="F399" t="s">
        <v>66</v>
      </c>
      <c r="G399" t="s">
        <v>23</v>
      </c>
      <c r="H399" t="s">
        <v>41</v>
      </c>
      <c r="I399" s="3">
        <v>3880</v>
      </c>
      <c r="J399" s="3">
        <v>388.03800000000001</v>
      </c>
      <c r="K399" t="s">
        <v>17</v>
      </c>
    </row>
    <row r="400" spans="1:11" x14ac:dyDescent="0.35">
      <c r="A400" t="s">
        <v>1183</v>
      </c>
      <c r="B400" t="s">
        <v>1184</v>
      </c>
      <c r="C400" t="str">
        <f t="shared" si="11"/>
        <v>Wednesday-04-2025</v>
      </c>
      <c r="D400" t="s">
        <v>1185</v>
      </c>
      <c r="E400" t="s">
        <v>13</v>
      </c>
      <c r="F400" t="s">
        <v>36</v>
      </c>
      <c r="G400" t="s">
        <v>23</v>
      </c>
      <c r="H400" t="s">
        <v>31</v>
      </c>
      <c r="I400" s="3">
        <v>4507</v>
      </c>
      <c r="J400" s="3">
        <v>0</v>
      </c>
      <c r="K400" t="s">
        <v>37</v>
      </c>
    </row>
    <row r="401" spans="1:11" x14ac:dyDescent="0.35">
      <c r="A401" t="s">
        <v>1186</v>
      </c>
      <c r="B401" t="s">
        <v>1187</v>
      </c>
      <c r="C401" t="str">
        <f t="shared" si="11"/>
        <v>Monday-01-2025</v>
      </c>
      <c r="D401" t="s">
        <v>1188</v>
      </c>
      <c r="E401" t="s">
        <v>13</v>
      </c>
      <c r="F401" t="s">
        <v>62</v>
      </c>
      <c r="G401" t="s">
        <v>23</v>
      </c>
      <c r="H401" t="s">
        <v>41</v>
      </c>
      <c r="I401" s="3">
        <v>3166</v>
      </c>
      <c r="J401" s="3">
        <v>0</v>
      </c>
      <c r="K401" t="s">
        <v>37</v>
      </c>
    </row>
    <row r="402" spans="1:11" x14ac:dyDescent="0.35">
      <c r="A402" t="s">
        <v>1189</v>
      </c>
      <c r="B402" t="s">
        <v>1190</v>
      </c>
      <c r="C402" t="str">
        <f t="shared" si="11"/>
        <v>Monday-04-2023</v>
      </c>
      <c r="D402" t="s">
        <v>1191</v>
      </c>
      <c r="E402" t="s">
        <v>53</v>
      </c>
      <c r="F402" t="s">
        <v>29</v>
      </c>
      <c r="G402" t="s">
        <v>15</v>
      </c>
      <c r="H402" t="s">
        <v>16</v>
      </c>
      <c r="I402" s="3">
        <v>838</v>
      </c>
      <c r="J402" s="3">
        <v>41.935500000000005</v>
      </c>
      <c r="K402" t="s">
        <v>24</v>
      </c>
    </row>
    <row r="403" spans="1:11" x14ac:dyDescent="0.35">
      <c r="A403" t="s">
        <v>1192</v>
      </c>
      <c r="B403" t="s">
        <v>1193</v>
      </c>
      <c r="C403" t="str">
        <f t="shared" si="11"/>
        <v>Wednesday-01-2024</v>
      </c>
      <c r="D403" t="s">
        <v>1194</v>
      </c>
      <c r="E403" t="s">
        <v>112</v>
      </c>
      <c r="F403" t="s">
        <v>22</v>
      </c>
      <c r="G403" t="s">
        <v>30</v>
      </c>
      <c r="H403" t="s">
        <v>31</v>
      </c>
      <c r="I403" s="3">
        <v>2275</v>
      </c>
      <c r="J403" s="3">
        <v>0</v>
      </c>
      <c r="K403" t="s">
        <v>37</v>
      </c>
    </row>
    <row r="404" spans="1:11" x14ac:dyDescent="0.35">
      <c r="A404" t="s">
        <v>1195</v>
      </c>
      <c r="B404" t="s">
        <v>1196</v>
      </c>
      <c r="C404" t="str">
        <f t="shared" si="11"/>
        <v xml:space="preserve"> 29 October 2023</v>
      </c>
      <c r="D404" t="s">
        <v>1197</v>
      </c>
      <c r="E404" t="s">
        <v>108</v>
      </c>
      <c r="F404" t="s">
        <v>29</v>
      </c>
      <c r="G404" t="s">
        <v>15</v>
      </c>
      <c r="H404" t="s">
        <v>31</v>
      </c>
      <c r="I404" s="3">
        <v>1857</v>
      </c>
      <c r="J404" s="3">
        <v>0</v>
      </c>
      <c r="K404" t="s">
        <v>37</v>
      </c>
    </row>
    <row r="405" spans="1:11" x14ac:dyDescent="0.35">
      <c r="A405" t="s">
        <v>1198</v>
      </c>
      <c r="B405" t="s">
        <v>1199</v>
      </c>
      <c r="C405" t="str">
        <f t="shared" si="11"/>
        <v>07-13-2023</v>
      </c>
      <c r="D405" t="s">
        <v>1200</v>
      </c>
      <c r="E405" t="s">
        <v>45</v>
      </c>
      <c r="F405" t="s">
        <v>14</v>
      </c>
      <c r="G405" t="s">
        <v>23</v>
      </c>
      <c r="H405" t="s">
        <v>41</v>
      </c>
      <c r="I405" s="3">
        <v>1022</v>
      </c>
      <c r="J405" s="3">
        <v>68.143999999999991</v>
      </c>
      <c r="K405" t="s">
        <v>37</v>
      </c>
    </row>
    <row r="406" spans="1:11" x14ac:dyDescent="0.35">
      <c r="A406" t="s">
        <v>1201</v>
      </c>
      <c r="B406" t="s">
        <v>1202</v>
      </c>
      <c r="C406" t="str">
        <f t="shared" si="11"/>
        <v>Friday-01-2023</v>
      </c>
      <c r="D406" t="s">
        <v>1203</v>
      </c>
      <c r="E406" t="s">
        <v>269</v>
      </c>
      <c r="F406" t="s">
        <v>86</v>
      </c>
      <c r="G406" t="s">
        <v>30</v>
      </c>
      <c r="H406" t="s">
        <v>41</v>
      </c>
      <c r="I406" s="3">
        <v>2471</v>
      </c>
      <c r="J406" s="3">
        <v>0</v>
      </c>
      <c r="K406" t="s">
        <v>37</v>
      </c>
    </row>
    <row r="407" spans="1:11" x14ac:dyDescent="0.35">
      <c r="A407" t="s">
        <v>1204</v>
      </c>
      <c r="B407" t="s">
        <v>1205</v>
      </c>
      <c r="C407" t="str">
        <f t="shared" si="11"/>
        <v>Friday-06-2024</v>
      </c>
      <c r="D407" t="s">
        <v>1206</v>
      </c>
      <c r="E407" t="s">
        <v>112</v>
      </c>
      <c r="F407" t="s">
        <v>99</v>
      </c>
      <c r="G407" t="s">
        <v>23</v>
      </c>
      <c r="H407" t="s">
        <v>41</v>
      </c>
      <c r="I407" s="3">
        <v>2834</v>
      </c>
      <c r="J407" s="3">
        <v>283.45600000000002</v>
      </c>
      <c r="K407" t="s">
        <v>37</v>
      </c>
    </row>
    <row r="408" spans="1:11" x14ac:dyDescent="0.35">
      <c r="A408" t="s">
        <v>1207</v>
      </c>
      <c r="B408" t="s">
        <v>1208</v>
      </c>
      <c r="C408" t="str">
        <f t="shared" si="11"/>
        <v>Sunday-03-2025</v>
      </c>
      <c r="D408" t="s">
        <v>1209</v>
      </c>
      <c r="E408" t="s">
        <v>28</v>
      </c>
      <c r="F408" t="s">
        <v>86</v>
      </c>
      <c r="G408" t="s">
        <v>15</v>
      </c>
      <c r="H408" t="s">
        <v>31</v>
      </c>
      <c r="I408" s="3">
        <v>1529</v>
      </c>
      <c r="J408" s="3">
        <v>76.49199999999999</v>
      </c>
      <c r="K408" t="s">
        <v>17</v>
      </c>
    </row>
    <row r="409" spans="1:11" x14ac:dyDescent="0.35">
      <c r="A409" t="s">
        <v>1210</v>
      </c>
      <c r="B409" t="s">
        <v>1211</v>
      </c>
      <c r="C409" t="str">
        <f t="shared" si="11"/>
        <v>Monday-08-2023</v>
      </c>
      <c r="D409" t="s">
        <v>1212</v>
      </c>
      <c r="E409" t="s">
        <v>103</v>
      </c>
      <c r="F409" t="s">
        <v>22</v>
      </c>
      <c r="G409" t="s">
        <v>15</v>
      </c>
      <c r="H409" t="s">
        <v>41</v>
      </c>
      <c r="I409" s="3">
        <v>2646</v>
      </c>
      <c r="J409" s="3">
        <v>264.61500000000001</v>
      </c>
      <c r="K409" t="s">
        <v>37</v>
      </c>
    </row>
    <row r="410" spans="1:11" x14ac:dyDescent="0.35">
      <c r="A410" t="s">
        <v>1213</v>
      </c>
      <c r="B410" t="s">
        <v>1214</v>
      </c>
      <c r="C410" t="str">
        <f t="shared" si="11"/>
        <v>06-22-2023 22:35</v>
      </c>
      <c r="D410" t="s">
        <v>155</v>
      </c>
      <c r="E410" t="s">
        <v>53</v>
      </c>
      <c r="F410" t="s">
        <v>29</v>
      </c>
      <c r="G410" t="s">
        <v>15</v>
      </c>
      <c r="H410" t="s">
        <v>41</v>
      </c>
      <c r="I410" s="3">
        <v>4333</v>
      </c>
      <c r="J410" s="3">
        <v>866.67399999999998</v>
      </c>
      <c r="K410" t="s">
        <v>17</v>
      </c>
    </row>
    <row r="411" spans="1:11" x14ac:dyDescent="0.35">
      <c r="A411" t="s">
        <v>1215</v>
      </c>
      <c r="B411" t="s">
        <v>1216</v>
      </c>
      <c r="C411" t="str">
        <f t="shared" si="11"/>
        <v>Thursday-03-2023</v>
      </c>
      <c r="D411" t="s">
        <v>1217</v>
      </c>
      <c r="E411" t="s">
        <v>49</v>
      </c>
      <c r="F411" t="s">
        <v>14</v>
      </c>
      <c r="G411" t="s">
        <v>23</v>
      </c>
      <c r="H411" t="s">
        <v>31</v>
      </c>
      <c r="I411" s="3">
        <v>3403</v>
      </c>
      <c r="J411" s="3">
        <v>0</v>
      </c>
      <c r="K411" t="s">
        <v>37</v>
      </c>
    </row>
    <row r="412" spans="1:11" x14ac:dyDescent="0.35">
      <c r="A412" t="s">
        <v>1218</v>
      </c>
      <c r="B412" t="s">
        <v>1219</v>
      </c>
      <c r="C412" t="str">
        <f t="shared" si="11"/>
        <v>Thursday-05-2024</v>
      </c>
      <c r="D412" t="s">
        <v>1220</v>
      </c>
      <c r="E412" t="s">
        <v>49</v>
      </c>
      <c r="F412" t="s">
        <v>29</v>
      </c>
      <c r="G412" t="s">
        <v>23</v>
      </c>
      <c r="H412" t="s">
        <v>31</v>
      </c>
      <c r="I412" s="3">
        <v>4704</v>
      </c>
      <c r="J412" s="3">
        <v>470.471</v>
      </c>
      <c r="K412" t="s">
        <v>24</v>
      </c>
    </row>
    <row r="413" spans="1:11" x14ac:dyDescent="0.35">
      <c r="A413" t="s">
        <v>1221</v>
      </c>
      <c r="B413" t="s">
        <v>1222</v>
      </c>
      <c r="C413" t="str">
        <f t="shared" si="11"/>
        <v>Wednesday-04-2025</v>
      </c>
      <c r="D413" t="s">
        <v>883</v>
      </c>
      <c r="E413" t="s">
        <v>45</v>
      </c>
      <c r="F413" t="s">
        <v>143</v>
      </c>
      <c r="G413" t="s">
        <v>15</v>
      </c>
      <c r="H413" t="s">
        <v>16</v>
      </c>
      <c r="I413" s="3">
        <v>4010</v>
      </c>
      <c r="J413" s="3">
        <v>0</v>
      </c>
      <c r="K413" t="s">
        <v>37</v>
      </c>
    </row>
    <row r="414" spans="1:11" x14ac:dyDescent="0.35">
      <c r="A414" t="s">
        <v>1223</v>
      </c>
      <c r="B414" t="s">
        <v>1224</v>
      </c>
      <c r="C414" t="str">
        <f t="shared" si="11"/>
        <v>Wednesday-04-2025</v>
      </c>
      <c r="E414" t="s">
        <v>49</v>
      </c>
      <c r="F414" t="s">
        <v>66</v>
      </c>
      <c r="G414" t="s">
        <v>30</v>
      </c>
      <c r="H414" t="s">
        <v>31</v>
      </c>
      <c r="I414" s="3">
        <v>884</v>
      </c>
      <c r="J414" s="3">
        <v>0</v>
      </c>
      <c r="K414" t="s">
        <v>17</v>
      </c>
    </row>
    <row r="415" spans="1:11" x14ac:dyDescent="0.35">
      <c r="A415" t="s">
        <v>1225</v>
      </c>
      <c r="B415" t="s">
        <v>1226</v>
      </c>
      <c r="C415" t="str">
        <f t="shared" si="11"/>
        <v>Wednesday-10-2024</v>
      </c>
      <c r="D415" t="s">
        <v>1227</v>
      </c>
      <c r="E415" t="s">
        <v>13</v>
      </c>
      <c r="F415" t="s">
        <v>29</v>
      </c>
      <c r="G415" t="s">
        <v>15</v>
      </c>
      <c r="H415" t="s">
        <v>31</v>
      </c>
      <c r="I415" s="3">
        <v>2460</v>
      </c>
      <c r="J415" s="3">
        <v>492.03599999999994</v>
      </c>
      <c r="K415" t="s">
        <v>24</v>
      </c>
    </row>
    <row r="416" spans="1:11" x14ac:dyDescent="0.35">
      <c r="A416" t="s">
        <v>1228</v>
      </c>
      <c r="B416" t="s">
        <v>1229</v>
      </c>
      <c r="C416" t="str">
        <f t="shared" si="11"/>
        <v>10-14-2024</v>
      </c>
      <c r="D416" t="s">
        <v>1230</v>
      </c>
      <c r="E416" t="s">
        <v>49</v>
      </c>
      <c r="F416" t="s">
        <v>22</v>
      </c>
      <c r="G416" t="s">
        <v>15</v>
      </c>
      <c r="H416" t="s">
        <v>31</v>
      </c>
      <c r="I416" s="3">
        <v>4110</v>
      </c>
      <c r="J416" s="3">
        <v>822.05</v>
      </c>
      <c r="K416" t="s">
        <v>17</v>
      </c>
    </row>
    <row r="417" spans="1:11" x14ac:dyDescent="0.35">
      <c r="A417" t="s">
        <v>1231</v>
      </c>
      <c r="B417" t="s">
        <v>1229</v>
      </c>
      <c r="C417" t="str">
        <f t="shared" si="11"/>
        <v>10-14-2024</v>
      </c>
      <c r="D417" t="s">
        <v>1232</v>
      </c>
      <c r="E417" t="s">
        <v>35</v>
      </c>
      <c r="F417" t="s">
        <v>14</v>
      </c>
      <c r="G417" t="s">
        <v>15</v>
      </c>
      <c r="H417" t="s">
        <v>41</v>
      </c>
      <c r="I417" s="3">
        <v>73</v>
      </c>
      <c r="J417" s="3">
        <v>14.62</v>
      </c>
      <c r="K417" t="s">
        <v>24</v>
      </c>
    </row>
    <row r="418" spans="1:11" x14ac:dyDescent="0.35">
      <c r="A418" t="s">
        <v>1233</v>
      </c>
      <c r="B418" t="s">
        <v>1234</v>
      </c>
      <c r="C418" t="str">
        <f t="shared" si="11"/>
        <v>Monday-05-2025</v>
      </c>
      <c r="D418" t="s">
        <v>1235</v>
      </c>
      <c r="E418" t="s">
        <v>108</v>
      </c>
      <c r="F418" t="s">
        <v>86</v>
      </c>
      <c r="G418" t="s">
        <v>23</v>
      </c>
      <c r="H418" t="s">
        <v>41</v>
      </c>
      <c r="I418" s="3">
        <v>2913</v>
      </c>
      <c r="J418" s="3">
        <v>145.696</v>
      </c>
      <c r="K418" t="s">
        <v>17</v>
      </c>
    </row>
    <row r="419" spans="1:11" x14ac:dyDescent="0.35">
      <c r="A419" t="s">
        <v>1236</v>
      </c>
      <c r="B419" t="s">
        <v>1237</v>
      </c>
      <c r="C419" t="str">
        <f t="shared" si="11"/>
        <v>Tuesday-09-2024</v>
      </c>
      <c r="D419" t="s">
        <v>1238</v>
      </c>
      <c r="E419" t="s">
        <v>49</v>
      </c>
      <c r="F419" t="s">
        <v>14</v>
      </c>
      <c r="G419" t="s">
        <v>15</v>
      </c>
      <c r="H419" t="s">
        <v>16</v>
      </c>
      <c r="I419" s="3">
        <v>3175</v>
      </c>
      <c r="J419" s="3">
        <v>635.01199999999994</v>
      </c>
      <c r="K419" t="s">
        <v>17</v>
      </c>
    </row>
    <row r="420" spans="1:11" x14ac:dyDescent="0.35">
      <c r="A420" t="s">
        <v>1239</v>
      </c>
      <c r="B420" t="s">
        <v>1240</v>
      </c>
      <c r="C420" t="str">
        <f t="shared" si="11"/>
        <v>Wednesday-09-2024</v>
      </c>
      <c r="D420" t="s">
        <v>1241</v>
      </c>
      <c r="E420" t="s">
        <v>35</v>
      </c>
      <c r="F420" t="s">
        <v>66</v>
      </c>
      <c r="G420" t="s">
        <v>15</v>
      </c>
      <c r="H420" t="s">
        <v>31</v>
      </c>
      <c r="I420" s="3">
        <v>1915</v>
      </c>
      <c r="J420" s="3">
        <v>383.04</v>
      </c>
      <c r="K420" t="s">
        <v>37</v>
      </c>
    </row>
    <row r="421" spans="1:11" x14ac:dyDescent="0.35">
      <c r="A421" t="s">
        <v>1242</v>
      </c>
      <c r="B421" t="s">
        <v>1243</v>
      </c>
      <c r="C421" t="str">
        <f t="shared" si="11"/>
        <v>Friday-10-2024</v>
      </c>
      <c r="D421" t="s">
        <v>1003</v>
      </c>
      <c r="E421" t="s">
        <v>202</v>
      </c>
      <c r="F421" t="s">
        <v>62</v>
      </c>
      <c r="G421" t="s">
        <v>23</v>
      </c>
      <c r="H421" t="s">
        <v>31</v>
      </c>
      <c r="I421" s="3">
        <v>2095</v>
      </c>
      <c r="J421" s="3">
        <v>419.18799999999999</v>
      </c>
      <c r="K421" t="s">
        <v>24</v>
      </c>
    </row>
    <row r="422" spans="1:11" x14ac:dyDescent="0.35">
      <c r="A422" t="s">
        <v>1244</v>
      </c>
      <c r="B422" t="s">
        <v>1245</v>
      </c>
      <c r="C422" t="str">
        <f t="shared" si="11"/>
        <v>12-18-2023</v>
      </c>
      <c r="D422" t="s">
        <v>1246</v>
      </c>
      <c r="E422" t="s">
        <v>13</v>
      </c>
      <c r="F422" t="s">
        <v>14</v>
      </c>
      <c r="G422" t="s">
        <v>30</v>
      </c>
      <c r="H422" t="s">
        <v>31</v>
      </c>
      <c r="I422" s="3">
        <v>1267</v>
      </c>
      <c r="J422" s="3">
        <v>253.48400000000001</v>
      </c>
      <c r="K422" t="s">
        <v>24</v>
      </c>
    </row>
    <row r="423" spans="1:11" x14ac:dyDescent="0.35">
      <c r="A423" t="s">
        <v>1247</v>
      </c>
      <c r="B423" t="s">
        <v>184</v>
      </c>
      <c r="C423" t="str">
        <f t="shared" si="11"/>
        <v>Wednesday-12-2024</v>
      </c>
      <c r="D423" t="s">
        <v>1248</v>
      </c>
      <c r="E423" t="s">
        <v>28</v>
      </c>
      <c r="F423" t="s">
        <v>29</v>
      </c>
      <c r="G423" t="s">
        <v>23</v>
      </c>
      <c r="H423" t="s">
        <v>41</v>
      </c>
      <c r="I423" s="3">
        <v>3378</v>
      </c>
      <c r="J423" s="3">
        <v>337.80599999999998</v>
      </c>
      <c r="K423" t="s">
        <v>17</v>
      </c>
    </row>
    <row r="424" spans="1:11" x14ac:dyDescent="0.35">
      <c r="A424" t="s">
        <v>1249</v>
      </c>
      <c r="B424" t="s">
        <v>447</v>
      </c>
      <c r="C424" t="str">
        <f t="shared" si="11"/>
        <v>Wednesday-03-2024</v>
      </c>
      <c r="D424" t="s">
        <v>1250</v>
      </c>
      <c r="E424" t="s">
        <v>112</v>
      </c>
      <c r="F424" t="s">
        <v>29</v>
      </c>
      <c r="G424" t="s">
        <v>23</v>
      </c>
      <c r="H424" t="s">
        <v>31</v>
      </c>
      <c r="I424" s="3">
        <v>517</v>
      </c>
      <c r="J424" s="3">
        <v>51.780999999999992</v>
      </c>
      <c r="K424" t="s">
        <v>24</v>
      </c>
    </row>
    <row r="425" spans="1:11" x14ac:dyDescent="0.35">
      <c r="A425" t="s">
        <v>1251</v>
      </c>
      <c r="C425" t="str">
        <f t="shared" si="11"/>
        <v>Saturday-01-1900</v>
      </c>
      <c r="D425" t="s">
        <v>1252</v>
      </c>
      <c r="E425" t="s">
        <v>253</v>
      </c>
      <c r="F425" t="s">
        <v>14</v>
      </c>
      <c r="G425" t="s">
        <v>15</v>
      </c>
      <c r="H425" t="s">
        <v>41</v>
      </c>
      <c r="I425" s="3">
        <v>593</v>
      </c>
      <c r="J425" s="3">
        <v>39.573333333333338</v>
      </c>
      <c r="K425" t="s">
        <v>24</v>
      </c>
    </row>
    <row r="426" spans="1:11" x14ac:dyDescent="0.35">
      <c r="A426" t="s">
        <v>1253</v>
      </c>
      <c r="B426" t="s">
        <v>1254</v>
      </c>
      <c r="C426" t="str">
        <f t="shared" si="11"/>
        <v>11-25-2024</v>
      </c>
      <c r="D426" t="s">
        <v>1255</v>
      </c>
      <c r="E426" t="s">
        <v>103</v>
      </c>
      <c r="F426" t="s">
        <v>57</v>
      </c>
      <c r="G426" t="s">
        <v>23</v>
      </c>
      <c r="H426" t="s">
        <v>31</v>
      </c>
      <c r="I426" s="3">
        <v>1278</v>
      </c>
      <c r="J426" s="3">
        <v>255.68600000000001</v>
      </c>
      <c r="K426" t="s">
        <v>24</v>
      </c>
    </row>
    <row r="427" spans="1:11" x14ac:dyDescent="0.35">
      <c r="A427" t="s">
        <v>1256</v>
      </c>
      <c r="B427" t="s">
        <v>1257</v>
      </c>
      <c r="C427" t="str">
        <f t="shared" si="11"/>
        <v>Wednesday-05-2025</v>
      </c>
      <c r="D427" t="s">
        <v>1258</v>
      </c>
      <c r="E427" t="s">
        <v>45</v>
      </c>
      <c r="F427" t="s">
        <v>36</v>
      </c>
      <c r="G427" t="s">
        <v>15</v>
      </c>
      <c r="H427" t="s">
        <v>41</v>
      </c>
      <c r="I427" s="3">
        <v>4232</v>
      </c>
      <c r="J427" s="3">
        <v>846.57999999999993</v>
      </c>
      <c r="K427" t="s">
        <v>24</v>
      </c>
    </row>
    <row r="428" spans="1:11" x14ac:dyDescent="0.35">
      <c r="A428" t="s">
        <v>1259</v>
      </c>
      <c r="B428" t="s">
        <v>1260</v>
      </c>
      <c r="C428" t="str">
        <f t="shared" si="11"/>
        <v>Monday-11-2025</v>
      </c>
      <c r="D428" t="s">
        <v>1261</v>
      </c>
      <c r="E428" t="s">
        <v>35</v>
      </c>
      <c r="F428" t="s">
        <v>86</v>
      </c>
      <c r="G428" t="s">
        <v>30</v>
      </c>
      <c r="H428" t="s">
        <v>16</v>
      </c>
      <c r="I428" s="3">
        <v>3582</v>
      </c>
      <c r="J428" s="3">
        <v>179.136</v>
      </c>
      <c r="K428" t="s">
        <v>24</v>
      </c>
    </row>
    <row r="429" spans="1:11" x14ac:dyDescent="0.35">
      <c r="A429" t="s">
        <v>1262</v>
      </c>
      <c r="B429" t="s">
        <v>1263</v>
      </c>
      <c r="C429" t="str">
        <f t="shared" si="11"/>
        <v>Wednesday-07-2024</v>
      </c>
      <c r="D429" t="s">
        <v>1264</v>
      </c>
      <c r="E429" t="s">
        <v>103</v>
      </c>
      <c r="F429" t="s">
        <v>22</v>
      </c>
      <c r="G429" t="s">
        <v>30</v>
      </c>
      <c r="H429" t="s">
        <v>41</v>
      </c>
      <c r="I429" s="3">
        <v>1345</v>
      </c>
      <c r="J429" s="3">
        <v>269.15199999999999</v>
      </c>
      <c r="K429" t="s">
        <v>37</v>
      </c>
    </row>
    <row r="430" spans="1:11" x14ac:dyDescent="0.35">
      <c r="A430" t="s">
        <v>1265</v>
      </c>
      <c r="C430" t="str">
        <f t="shared" si="11"/>
        <v>Saturday-01-1900</v>
      </c>
      <c r="D430" t="s">
        <v>1266</v>
      </c>
      <c r="E430" t="s">
        <v>202</v>
      </c>
      <c r="F430" t="s">
        <v>86</v>
      </c>
      <c r="G430" t="s">
        <v>15</v>
      </c>
      <c r="H430" t="s">
        <v>16</v>
      </c>
      <c r="I430" s="3">
        <v>1335</v>
      </c>
      <c r="J430" s="3">
        <v>0</v>
      </c>
      <c r="K430" t="s">
        <v>24</v>
      </c>
    </row>
    <row r="431" spans="1:11" x14ac:dyDescent="0.35">
      <c r="A431" t="s">
        <v>1267</v>
      </c>
      <c r="B431" t="s">
        <v>1268</v>
      </c>
      <c r="C431" t="str">
        <f t="shared" si="11"/>
        <v>05-14-2025</v>
      </c>
      <c r="D431" t="s">
        <v>1269</v>
      </c>
      <c r="E431" t="s">
        <v>21</v>
      </c>
      <c r="F431" t="s">
        <v>29</v>
      </c>
      <c r="G431" t="s">
        <v>30</v>
      </c>
      <c r="H431" t="s">
        <v>16</v>
      </c>
      <c r="I431" s="3">
        <v>764</v>
      </c>
      <c r="J431" s="3">
        <v>0</v>
      </c>
      <c r="K431" t="s">
        <v>17</v>
      </c>
    </row>
    <row r="432" spans="1:11" x14ac:dyDescent="0.35">
      <c r="A432" t="s">
        <v>1270</v>
      </c>
      <c r="B432" t="s">
        <v>1271</v>
      </c>
      <c r="C432" t="str">
        <f t="shared" si="11"/>
        <v>Sunday-03-2024</v>
      </c>
      <c r="D432" t="s">
        <v>1272</v>
      </c>
      <c r="E432" t="s">
        <v>79</v>
      </c>
      <c r="F432" t="s">
        <v>29</v>
      </c>
      <c r="G432" t="s">
        <v>30</v>
      </c>
      <c r="H432" t="s">
        <v>41</v>
      </c>
      <c r="I432" s="3">
        <v>2200</v>
      </c>
      <c r="J432" s="3">
        <v>0</v>
      </c>
      <c r="K432" t="s">
        <v>37</v>
      </c>
    </row>
    <row r="433" spans="1:11" x14ac:dyDescent="0.35">
      <c r="A433" t="s">
        <v>1273</v>
      </c>
      <c r="B433" t="s">
        <v>1274</v>
      </c>
      <c r="C433" t="str">
        <f t="shared" si="11"/>
        <v xml:space="preserve"> 10/05/2025</v>
      </c>
      <c r="D433" t="s">
        <v>1275</v>
      </c>
      <c r="E433" t="s">
        <v>103</v>
      </c>
      <c r="F433" t="s">
        <v>22</v>
      </c>
      <c r="G433" t="s">
        <v>15</v>
      </c>
      <c r="H433" t="s">
        <v>16</v>
      </c>
      <c r="I433" s="3">
        <v>132</v>
      </c>
      <c r="J433" s="3">
        <v>0</v>
      </c>
      <c r="K433" t="s">
        <v>24</v>
      </c>
    </row>
    <row r="434" spans="1:11" x14ac:dyDescent="0.35">
      <c r="A434" t="s">
        <v>1276</v>
      </c>
      <c r="B434" t="s">
        <v>1277</v>
      </c>
      <c r="C434" t="str">
        <f t="shared" si="11"/>
        <v xml:space="preserve"> 24-Jun-2024 03:10</v>
      </c>
      <c r="D434" t="s">
        <v>910</v>
      </c>
      <c r="E434" t="s">
        <v>45</v>
      </c>
      <c r="F434" t="s">
        <v>36</v>
      </c>
      <c r="G434" t="s">
        <v>30</v>
      </c>
      <c r="H434" t="s">
        <v>16</v>
      </c>
      <c r="I434" s="3">
        <v>1226</v>
      </c>
      <c r="J434" s="3">
        <v>0</v>
      </c>
      <c r="K434" t="s">
        <v>24</v>
      </c>
    </row>
    <row r="435" spans="1:11" x14ac:dyDescent="0.35">
      <c r="A435" t="s">
        <v>1278</v>
      </c>
      <c r="B435" t="s">
        <v>1279</v>
      </c>
      <c r="C435" t="str">
        <f t="shared" si="11"/>
        <v>Friday-03-2023</v>
      </c>
      <c r="D435" t="s">
        <v>1280</v>
      </c>
      <c r="E435" t="s">
        <v>49</v>
      </c>
      <c r="F435" t="s">
        <v>62</v>
      </c>
      <c r="G435" t="s">
        <v>15</v>
      </c>
      <c r="H435" t="s">
        <v>41</v>
      </c>
      <c r="I435" s="3">
        <v>2349</v>
      </c>
      <c r="J435" s="3">
        <v>117.47449999999999</v>
      </c>
      <c r="K435" t="s">
        <v>17</v>
      </c>
    </row>
    <row r="436" spans="1:11" x14ac:dyDescent="0.35">
      <c r="A436" t="s">
        <v>1281</v>
      </c>
      <c r="B436" t="s">
        <v>1282</v>
      </c>
      <c r="C436" t="str">
        <f t="shared" si="11"/>
        <v>Thursday-07-2023</v>
      </c>
      <c r="D436" t="s">
        <v>1283</v>
      </c>
      <c r="E436" t="s">
        <v>49</v>
      </c>
      <c r="F436" t="s">
        <v>14</v>
      </c>
      <c r="G436" t="s">
        <v>23</v>
      </c>
      <c r="H436" t="s">
        <v>41</v>
      </c>
      <c r="I436" s="3">
        <v>1216</v>
      </c>
      <c r="J436" s="3">
        <v>121.66800000000001</v>
      </c>
      <c r="K436" t="s">
        <v>37</v>
      </c>
    </row>
    <row r="437" spans="1:11" x14ac:dyDescent="0.35">
      <c r="A437" t="s">
        <v>1284</v>
      </c>
      <c r="B437" t="s">
        <v>1285</v>
      </c>
      <c r="C437" t="str">
        <f t="shared" si="11"/>
        <v>Tuesday-08-2023</v>
      </c>
      <c r="D437" t="s">
        <v>1286</v>
      </c>
      <c r="E437" t="s">
        <v>108</v>
      </c>
      <c r="F437" t="s">
        <v>14</v>
      </c>
      <c r="G437" t="s">
        <v>23</v>
      </c>
      <c r="H437" t="s">
        <v>31</v>
      </c>
      <c r="I437" s="3">
        <v>3098</v>
      </c>
      <c r="J437" s="3">
        <v>309.88900000000001</v>
      </c>
      <c r="K437" t="s">
        <v>24</v>
      </c>
    </row>
    <row r="438" spans="1:11" x14ac:dyDescent="0.35">
      <c r="A438" t="s">
        <v>1287</v>
      </c>
      <c r="B438" t="s">
        <v>1288</v>
      </c>
      <c r="C438" t="str">
        <f t="shared" si="11"/>
        <v>Saturday-11-2023</v>
      </c>
      <c r="D438" t="s">
        <v>1289</v>
      </c>
      <c r="E438" t="s">
        <v>13</v>
      </c>
      <c r="F438" t="s">
        <v>66</v>
      </c>
      <c r="G438" t="s">
        <v>15</v>
      </c>
      <c r="H438" t="s">
        <v>31</v>
      </c>
      <c r="I438" s="3">
        <v>1138</v>
      </c>
      <c r="J438" s="3">
        <v>56.9405</v>
      </c>
      <c r="K438" t="s">
        <v>24</v>
      </c>
    </row>
    <row r="439" spans="1:11" x14ac:dyDescent="0.35">
      <c r="A439" t="s">
        <v>1290</v>
      </c>
      <c r="B439" t="s">
        <v>1291</v>
      </c>
      <c r="C439" t="str">
        <f t="shared" si="11"/>
        <v>Wednesday-02-2025</v>
      </c>
      <c r="D439" t="s">
        <v>1292</v>
      </c>
      <c r="E439" t="s">
        <v>202</v>
      </c>
      <c r="F439" t="s">
        <v>36</v>
      </c>
      <c r="G439" t="s">
        <v>15</v>
      </c>
      <c r="H439" t="s">
        <v>16</v>
      </c>
      <c r="I439" s="3">
        <v>3976</v>
      </c>
      <c r="J439" s="3">
        <v>795.21199999999999</v>
      </c>
      <c r="K439" t="s">
        <v>37</v>
      </c>
    </row>
    <row r="440" spans="1:11" x14ac:dyDescent="0.35">
      <c r="A440" t="s">
        <v>1293</v>
      </c>
      <c r="B440" t="s">
        <v>1294</v>
      </c>
      <c r="C440" t="str">
        <f t="shared" si="11"/>
        <v>Sunday-03-2025</v>
      </c>
      <c r="D440" t="s">
        <v>1295</v>
      </c>
      <c r="E440" t="s">
        <v>21</v>
      </c>
      <c r="F440" t="s">
        <v>22</v>
      </c>
      <c r="G440" t="s">
        <v>30</v>
      </c>
      <c r="H440" t="s">
        <v>31</v>
      </c>
      <c r="I440" s="3">
        <v>4703</v>
      </c>
      <c r="J440" s="3">
        <v>940.68200000000002</v>
      </c>
      <c r="K440" t="s">
        <v>24</v>
      </c>
    </row>
    <row r="441" spans="1:11" x14ac:dyDescent="0.35">
      <c r="A441" t="s">
        <v>1296</v>
      </c>
      <c r="B441" t="s">
        <v>1297</v>
      </c>
      <c r="C441" t="str">
        <f t="shared" si="11"/>
        <v>Saturday-04-2025</v>
      </c>
      <c r="D441" t="s">
        <v>1298</v>
      </c>
      <c r="E441" t="s">
        <v>53</v>
      </c>
      <c r="F441" t="s">
        <v>14</v>
      </c>
      <c r="G441" t="s">
        <v>30</v>
      </c>
      <c r="H441" t="s">
        <v>16</v>
      </c>
      <c r="I441" s="3">
        <v>4516</v>
      </c>
      <c r="J441" s="3">
        <v>903.33600000000001</v>
      </c>
      <c r="K441" t="s">
        <v>37</v>
      </c>
    </row>
    <row r="442" spans="1:11" x14ac:dyDescent="0.35">
      <c r="A442" t="s">
        <v>1299</v>
      </c>
      <c r="B442" t="s">
        <v>1300</v>
      </c>
      <c r="C442" t="str">
        <f t="shared" si="11"/>
        <v>Friday-02-2024</v>
      </c>
      <c r="D442" t="s">
        <v>1301</v>
      </c>
      <c r="E442" t="s">
        <v>108</v>
      </c>
      <c r="F442" t="s">
        <v>62</v>
      </c>
      <c r="G442" t="s">
        <v>30</v>
      </c>
      <c r="H442" t="s">
        <v>31</v>
      </c>
      <c r="I442" s="3">
        <v>4842</v>
      </c>
      <c r="J442" s="3">
        <v>968.47800000000007</v>
      </c>
      <c r="K442" t="s">
        <v>17</v>
      </c>
    </row>
    <row r="443" spans="1:11" x14ac:dyDescent="0.35">
      <c r="A443" t="s">
        <v>1302</v>
      </c>
      <c r="B443" t="s">
        <v>1303</v>
      </c>
      <c r="C443" t="str">
        <f t="shared" si="11"/>
        <v>Saturday-01-2023</v>
      </c>
      <c r="D443" t="s">
        <v>1304</v>
      </c>
      <c r="E443" t="s">
        <v>103</v>
      </c>
      <c r="F443" t="s">
        <v>86</v>
      </c>
      <c r="G443" t="s">
        <v>30</v>
      </c>
      <c r="H443" t="s">
        <v>41</v>
      </c>
      <c r="I443" s="3">
        <v>4195</v>
      </c>
      <c r="J443" s="3">
        <v>209.75149999999999</v>
      </c>
      <c r="K443" t="s">
        <v>17</v>
      </c>
    </row>
    <row r="444" spans="1:11" x14ac:dyDescent="0.35">
      <c r="A444" t="s">
        <v>1305</v>
      </c>
      <c r="B444" t="s">
        <v>1306</v>
      </c>
      <c r="C444" t="str">
        <f t="shared" si="11"/>
        <v>Sunday-02-2024</v>
      </c>
      <c r="D444" t="s">
        <v>1307</v>
      </c>
      <c r="E444" t="s">
        <v>21</v>
      </c>
      <c r="F444" t="s">
        <v>22</v>
      </c>
      <c r="G444" t="s">
        <v>23</v>
      </c>
      <c r="H444" t="s">
        <v>31</v>
      </c>
      <c r="I444" s="3">
        <v>2298</v>
      </c>
      <c r="J444" s="3">
        <v>0</v>
      </c>
      <c r="K444" t="s">
        <v>24</v>
      </c>
    </row>
    <row r="445" spans="1:11" x14ac:dyDescent="0.35">
      <c r="A445" t="s">
        <v>1308</v>
      </c>
      <c r="B445" t="s">
        <v>1309</v>
      </c>
      <c r="C445" t="str">
        <f t="shared" si="11"/>
        <v>Thursday-03-2024</v>
      </c>
      <c r="D445" t="s">
        <v>1310</v>
      </c>
      <c r="E445" t="s">
        <v>108</v>
      </c>
      <c r="F445" t="s">
        <v>99</v>
      </c>
      <c r="G445" t="s">
        <v>23</v>
      </c>
      <c r="H445" t="s">
        <v>16</v>
      </c>
      <c r="I445" s="3">
        <v>3418</v>
      </c>
      <c r="J445" s="3">
        <v>227.90733333333336</v>
      </c>
      <c r="K445" t="s">
        <v>24</v>
      </c>
    </row>
    <row r="446" spans="1:11" x14ac:dyDescent="0.35">
      <c r="A446" t="s">
        <v>1311</v>
      </c>
      <c r="B446" t="s">
        <v>1282</v>
      </c>
      <c r="C446" t="str">
        <f t="shared" si="11"/>
        <v>Thursday-07-2023</v>
      </c>
      <c r="D446" t="s">
        <v>1312</v>
      </c>
      <c r="E446" t="s">
        <v>108</v>
      </c>
      <c r="F446" t="s">
        <v>29</v>
      </c>
      <c r="G446" t="s">
        <v>30</v>
      </c>
      <c r="H446" t="s">
        <v>41</v>
      </c>
      <c r="I446" s="3">
        <v>3012</v>
      </c>
      <c r="J446" s="3">
        <v>301.267</v>
      </c>
      <c r="K446" t="s">
        <v>17</v>
      </c>
    </row>
    <row r="447" spans="1:11" x14ac:dyDescent="0.35">
      <c r="A447" t="s">
        <v>1313</v>
      </c>
      <c r="C447" t="str">
        <f t="shared" si="11"/>
        <v>Saturday-01-1900</v>
      </c>
      <c r="D447" t="s">
        <v>1314</v>
      </c>
      <c r="E447" t="s">
        <v>112</v>
      </c>
      <c r="F447" t="s">
        <v>29</v>
      </c>
      <c r="G447" t="s">
        <v>15</v>
      </c>
      <c r="H447" t="s">
        <v>16</v>
      </c>
      <c r="I447" s="3">
        <v>332</v>
      </c>
      <c r="J447" s="3">
        <v>16.625999999999998</v>
      </c>
      <c r="K447" t="s">
        <v>37</v>
      </c>
    </row>
    <row r="448" spans="1:11" x14ac:dyDescent="0.35">
      <c r="A448" t="s">
        <v>1315</v>
      </c>
      <c r="B448" t="s">
        <v>1316</v>
      </c>
      <c r="C448" t="str">
        <f t="shared" si="11"/>
        <v>Friday-11-2024</v>
      </c>
      <c r="D448" t="s">
        <v>1317</v>
      </c>
      <c r="E448" t="s">
        <v>108</v>
      </c>
      <c r="F448" t="s">
        <v>14</v>
      </c>
      <c r="G448" t="s">
        <v>23</v>
      </c>
      <c r="H448" t="s">
        <v>16</v>
      </c>
      <c r="I448" s="3">
        <v>4263</v>
      </c>
      <c r="J448" s="3">
        <v>0</v>
      </c>
      <c r="K448" t="s">
        <v>17</v>
      </c>
    </row>
    <row r="449" spans="1:11" x14ac:dyDescent="0.35">
      <c r="A449" t="s">
        <v>1318</v>
      </c>
      <c r="B449" t="s">
        <v>1319</v>
      </c>
      <c r="C449" t="str">
        <f t="shared" si="11"/>
        <v>Thursday-09-2024</v>
      </c>
      <c r="D449" t="s">
        <v>1320</v>
      </c>
      <c r="E449" t="s">
        <v>28</v>
      </c>
      <c r="F449" t="s">
        <v>22</v>
      </c>
      <c r="G449" t="s">
        <v>23</v>
      </c>
      <c r="H449" t="s">
        <v>41</v>
      </c>
      <c r="I449" s="3">
        <v>1716</v>
      </c>
      <c r="J449" s="3">
        <v>171.691</v>
      </c>
      <c r="K449" t="s">
        <v>17</v>
      </c>
    </row>
    <row r="450" spans="1:11" x14ac:dyDescent="0.35">
      <c r="A450" t="s">
        <v>1321</v>
      </c>
      <c r="B450" t="s">
        <v>1322</v>
      </c>
      <c r="C450" t="str">
        <f t="shared" si="11"/>
        <v>Monday-01-2024</v>
      </c>
      <c r="D450" t="s">
        <v>1323</v>
      </c>
      <c r="E450" t="s">
        <v>103</v>
      </c>
      <c r="F450" t="s">
        <v>36</v>
      </c>
      <c r="G450" t="s">
        <v>15</v>
      </c>
      <c r="H450" t="s">
        <v>16</v>
      </c>
      <c r="I450" s="3">
        <v>4325</v>
      </c>
      <c r="J450" s="3">
        <v>432.596</v>
      </c>
      <c r="K450" t="s">
        <v>17</v>
      </c>
    </row>
    <row r="451" spans="1:11" x14ac:dyDescent="0.35">
      <c r="A451" t="s">
        <v>1324</v>
      </c>
      <c r="B451" t="s">
        <v>320</v>
      </c>
      <c r="C451" t="str">
        <f t="shared" ref="C451:C514" si="12">TEXT(B451,"dddd-mm-yyyy")</f>
        <v>12-16-2023</v>
      </c>
      <c r="D451" t="s">
        <v>1325</v>
      </c>
      <c r="E451" t="s">
        <v>253</v>
      </c>
      <c r="F451" t="s">
        <v>22</v>
      </c>
      <c r="G451" t="s">
        <v>23</v>
      </c>
      <c r="H451" t="s">
        <v>16</v>
      </c>
      <c r="I451" s="3">
        <v>3629</v>
      </c>
      <c r="J451" s="3">
        <v>241.976</v>
      </c>
      <c r="K451" t="s">
        <v>17</v>
      </c>
    </row>
    <row r="452" spans="1:11" x14ac:dyDescent="0.35">
      <c r="A452" t="s">
        <v>1326</v>
      </c>
      <c r="B452" t="s">
        <v>1327</v>
      </c>
      <c r="C452" t="str">
        <f t="shared" si="12"/>
        <v>Thursday-07-2024</v>
      </c>
      <c r="D452" t="s">
        <v>1328</v>
      </c>
      <c r="E452" t="s">
        <v>49</v>
      </c>
      <c r="F452" t="s">
        <v>29</v>
      </c>
      <c r="G452" t="s">
        <v>23</v>
      </c>
      <c r="H452" t="s">
        <v>16</v>
      </c>
      <c r="I452" s="3">
        <v>848</v>
      </c>
      <c r="J452" s="3">
        <v>56.583999999999996</v>
      </c>
      <c r="K452" t="s">
        <v>17</v>
      </c>
    </row>
    <row r="453" spans="1:11" x14ac:dyDescent="0.35">
      <c r="A453" t="s">
        <v>1329</v>
      </c>
      <c r="B453" t="s">
        <v>1330</v>
      </c>
      <c r="C453" t="str">
        <f t="shared" si="12"/>
        <v>Thursday-05-2023</v>
      </c>
      <c r="D453" t="s">
        <v>1331</v>
      </c>
      <c r="E453" t="s">
        <v>28</v>
      </c>
      <c r="F453" t="s">
        <v>29</v>
      </c>
      <c r="G453" t="s">
        <v>23</v>
      </c>
      <c r="H453" t="s">
        <v>41</v>
      </c>
      <c r="I453" s="3">
        <v>2512</v>
      </c>
      <c r="J453" s="3">
        <v>502.52600000000001</v>
      </c>
      <c r="K453" t="s">
        <v>17</v>
      </c>
    </row>
    <row r="454" spans="1:11" x14ac:dyDescent="0.35">
      <c r="A454" t="s">
        <v>1332</v>
      </c>
      <c r="B454" t="s">
        <v>628</v>
      </c>
      <c r="C454" t="str">
        <f t="shared" si="12"/>
        <v>Friday-02-2023</v>
      </c>
      <c r="D454" t="s">
        <v>1054</v>
      </c>
      <c r="E454" t="s">
        <v>61</v>
      </c>
      <c r="F454" t="s">
        <v>29</v>
      </c>
      <c r="G454" t="s">
        <v>23</v>
      </c>
      <c r="H454" t="s">
        <v>41</v>
      </c>
      <c r="I454" s="3">
        <v>4796</v>
      </c>
      <c r="J454" s="3">
        <v>0</v>
      </c>
      <c r="K454" t="s">
        <v>24</v>
      </c>
    </row>
    <row r="455" spans="1:11" x14ac:dyDescent="0.35">
      <c r="A455" t="s">
        <v>1333</v>
      </c>
      <c r="C455" t="str">
        <f t="shared" si="12"/>
        <v>Saturday-01-1900</v>
      </c>
      <c r="D455" t="s">
        <v>1334</v>
      </c>
      <c r="E455" t="s">
        <v>49</v>
      </c>
      <c r="F455" t="s">
        <v>22</v>
      </c>
      <c r="G455" t="s">
        <v>23</v>
      </c>
      <c r="H455" t="s">
        <v>16</v>
      </c>
      <c r="I455" s="3">
        <v>3953</v>
      </c>
      <c r="J455" s="3">
        <v>790.72199999999998</v>
      </c>
      <c r="K455" t="s">
        <v>37</v>
      </c>
    </row>
    <row r="456" spans="1:11" x14ac:dyDescent="0.35">
      <c r="A456" t="s">
        <v>1335</v>
      </c>
      <c r="B456" t="s">
        <v>1336</v>
      </c>
      <c r="C456" t="str">
        <f t="shared" si="12"/>
        <v>Friday-10-2023</v>
      </c>
      <c r="D456" t="s">
        <v>1337</v>
      </c>
      <c r="E456" t="s">
        <v>108</v>
      </c>
      <c r="F456" t="s">
        <v>14</v>
      </c>
      <c r="G456" t="s">
        <v>15</v>
      </c>
      <c r="H456" t="s">
        <v>31</v>
      </c>
      <c r="I456" s="3">
        <v>4309</v>
      </c>
      <c r="J456" s="3">
        <v>215.46599999999998</v>
      </c>
      <c r="K456" t="s">
        <v>24</v>
      </c>
    </row>
    <row r="457" spans="1:11" x14ac:dyDescent="0.35">
      <c r="A457" t="s">
        <v>1338</v>
      </c>
      <c r="B457" t="s">
        <v>1339</v>
      </c>
      <c r="C457" t="str">
        <f t="shared" si="12"/>
        <v>Tuesday-12-2024</v>
      </c>
      <c r="D457" t="s">
        <v>1340</v>
      </c>
      <c r="E457" t="s">
        <v>79</v>
      </c>
      <c r="F457" t="s">
        <v>29</v>
      </c>
      <c r="G457" t="s">
        <v>15</v>
      </c>
      <c r="H457" t="s">
        <v>41</v>
      </c>
      <c r="I457" s="3">
        <v>2293</v>
      </c>
      <c r="J457" s="3">
        <v>229.36500000000001</v>
      </c>
      <c r="K457" t="s">
        <v>37</v>
      </c>
    </row>
    <row r="458" spans="1:11" x14ac:dyDescent="0.35">
      <c r="A458" t="s">
        <v>1341</v>
      </c>
      <c r="B458" t="s">
        <v>1342</v>
      </c>
      <c r="C458" t="str">
        <f t="shared" si="12"/>
        <v>Sunday-01-2023</v>
      </c>
      <c r="D458" t="s">
        <v>233</v>
      </c>
      <c r="E458" t="s">
        <v>35</v>
      </c>
      <c r="F458" t="s">
        <v>36</v>
      </c>
      <c r="G458" t="s">
        <v>30</v>
      </c>
      <c r="H458" t="s">
        <v>16</v>
      </c>
      <c r="I458" s="3">
        <v>1589</v>
      </c>
      <c r="J458" s="3">
        <v>158.96300000000002</v>
      </c>
      <c r="K458" t="s">
        <v>24</v>
      </c>
    </row>
    <row r="459" spans="1:11" x14ac:dyDescent="0.35">
      <c r="A459" t="s">
        <v>1343</v>
      </c>
      <c r="B459" t="s">
        <v>1344</v>
      </c>
      <c r="C459" t="str">
        <f t="shared" si="12"/>
        <v xml:space="preserve"> 12 January 2023 </v>
      </c>
      <c r="D459" t="s">
        <v>233</v>
      </c>
      <c r="E459" t="s">
        <v>112</v>
      </c>
      <c r="F459" t="s">
        <v>14</v>
      </c>
      <c r="G459" t="s">
        <v>23</v>
      </c>
      <c r="H459" t="s">
        <v>41</v>
      </c>
      <c r="I459" s="3">
        <v>2595</v>
      </c>
      <c r="J459" s="3">
        <v>0</v>
      </c>
      <c r="K459" t="s">
        <v>24</v>
      </c>
    </row>
    <row r="460" spans="1:11" x14ac:dyDescent="0.35">
      <c r="A460" t="s">
        <v>1345</v>
      </c>
      <c r="B460" t="s">
        <v>450</v>
      </c>
      <c r="C460" t="str">
        <f t="shared" si="12"/>
        <v>Thursday-02-2025</v>
      </c>
      <c r="D460" t="s">
        <v>1346</v>
      </c>
      <c r="E460" t="s">
        <v>108</v>
      </c>
      <c r="F460" t="s">
        <v>22</v>
      </c>
      <c r="G460" t="s">
        <v>23</v>
      </c>
      <c r="H460" t="s">
        <v>31</v>
      </c>
      <c r="I460" s="3">
        <v>152</v>
      </c>
      <c r="J460" s="3">
        <v>0</v>
      </c>
      <c r="K460" t="s">
        <v>37</v>
      </c>
    </row>
    <row r="461" spans="1:11" x14ac:dyDescent="0.35">
      <c r="A461" t="s">
        <v>1347</v>
      </c>
      <c r="B461" t="s">
        <v>1348</v>
      </c>
      <c r="C461" t="str">
        <f t="shared" si="12"/>
        <v xml:space="preserve"> 05/05/2023</v>
      </c>
      <c r="D461" t="s">
        <v>1349</v>
      </c>
      <c r="E461" t="s">
        <v>35</v>
      </c>
      <c r="F461" t="s">
        <v>36</v>
      </c>
      <c r="G461" t="s">
        <v>23</v>
      </c>
      <c r="H461" t="s">
        <v>31</v>
      </c>
      <c r="I461" s="3">
        <v>2269</v>
      </c>
      <c r="J461" s="3">
        <v>0</v>
      </c>
      <c r="K461" t="s">
        <v>17</v>
      </c>
    </row>
    <row r="462" spans="1:11" x14ac:dyDescent="0.35">
      <c r="A462" t="s">
        <v>1350</v>
      </c>
      <c r="B462" t="s">
        <v>1351</v>
      </c>
      <c r="C462" t="str">
        <f t="shared" si="12"/>
        <v>Tuesday-01-2025</v>
      </c>
      <c r="D462" t="s">
        <v>1352</v>
      </c>
      <c r="E462" t="s">
        <v>253</v>
      </c>
      <c r="F462" t="s">
        <v>22</v>
      </c>
      <c r="G462" t="s">
        <v>15</v>
      </c>
      <c r="H462" t="s">
        <v>16</v>
      </c>
      <c r="I462" s="3">
        <v>145</v>
      </c>
      <c r="J462" s="3">
        <v>7.2575000000000003</v>
      </c>
      <c r="K462" t="s">
        <v>17</v>
      </c>
    </row>
    <row r="463" spans="1:11" x14ac:dyDescent="0.35">
      <c r="A463" t="s">
        <v>1353</v>
      </c>
      <c r="B463" t="s">
        <v>1354</v>
      </c>
      <c r="C463" t="str">
        <f t="shared" si="12"/>
        <v>Wednesday-03-2023</v>
      </c>
      <c r="D463" t="s">
        <v>1355</v>
      </c>
      <c r="E463" t="s">
        <v>13</v>
      </c>
      <c r="F463" t="s">
        <v>14</v>
      </c>
      <c r="G463" t="s">
        <v>30</v>
      </c>
      <c r="H463" t="s">
        <v>41</v>
      </c>
      <c r="I463" s="3">
        <v>4858</v>
      </c>
      <c r="J463" s="3">
        <v>971.74400000000003</v>
      </c>
      <c r="K463" t="s">
        <v>37</v>
      </c>
    </row>
    <row r="464" spans="1:11" x14ac:dyDescent="0.35">
      <c r="A464" t="s">
        <v>1356</v>
      </c>
      <c r="B464" t="s">
        <v>1357</v>
      </c>
      <c r="C464" t="str">
        <f t="shared" si="12"/>
        <v>Sunday-12-2023</v>
      </c>
      <c r="D464" t="s">
        <v>551</v>
      </c>
      <c r="E464" t="s">
        <v>103</v>
      </c>
      <c r="F464" t="s">
        <v>66</v>
      </c>
      <c r="G464" t="s">
        <v>30</v>
      </c>
      <c r="H464" t="s">
        <v>31</v>
      </c>
      <c r="I464" s="3">
        <v>1204</v>
      </c>
      <c r="J464" s="3">
        <v>120.43900000000001</v>
      </c>
      <c r="K464" t="s">
        <v>17</v>
      </c>
    </row>
    <row r="465" spans="1:11" x14ac:dyDescent="0.35">
      <c r="A465" t="s">
        <v>1358</v>
      </c>
      <c r="B465" t="s">
        <v>1359</v>
      </c>
      <c r="C465" t="str">
        <f t="shared" si="12"/>
        <v>Thursday-11-2023</v>
      </c>
      <c r="D465" t="s">
        <v>1360</v>
      </c>
      <c r="E465" t="s">
        <v>103</v>
      </c>
      <c r="F465" t="s">
        <v>29</v>
      </c>
      <c r="G465" t="s">
        <v>23</v>
      </c>
      <c r="H465" t="s">
        <v>16</v>
      </c>
      <c r="I465" s="3">
        <v>1174</v>
      </c>
      <c r="J465" s="3">
        <v>0</v>
      </c>
      <c r="K465" t="s">
        <v>37</v>
      </c>
    </row>
    <row r="466" spans="1:11" x14ac:dyDescent="0.35">
      <c r="A466" t="s">
        <v>1361</v>
      </c>
      <c r="B466" t="s">
        <v>1362</v>
      </c>
      <c r="C466" t="str">
        <f t="shared" si="12"/>
        <v>Friday-09-2024</v>
      </c>
      <c r="D466" t="s">
        <v>1363</v>
      </c>
      <c r="E466" t="s">
        <v>45</v>
      </c>
      <c r="F466" t="s">
        <v>66</v>
      </c>
      <c r="G466" t="s">
        <v>30</v>
      </c>
      <c r="H466" t="s">
        <v>31</v>
      </c>
      <c r="I466" s="3">
        <v>759</v>
      </c>
      <c r="J466" s="3">
        <v>50.633333333333333</v>
      </c>
      <c r="K466" t="s">
        <v>37</v>
      </c>
    </row>
    <row r="467" spans="1:11" x14ac:dyDescent="0.35">
      <c r="A467" t="s">
        <v>1364</v>
      </c>
      <c r="B467" t="s">
        <v>1365</v>
      </c>
      <c r="C467" t="str">
        <f t="shared" si="12"/>
        <v>Friday-08-2023</v>
      </c>
      <c r="D467" t="s">
        <v>1366</v>
      </c>
      <c r="E467" t="s">
        <v>21</v>
      </c>
      <c r="F467" t="s">
        <v>36</v>
      </c>
      <c r="G467" t="s">
        <v>23</v>
      </c>
      <c r="H467" t="s">
        <v>31</v>
      </c>
      <c r="I467" s="3">
        <v>4795</v>
      </c>
      <c r="J467" s="3">
        <v>0</v>
      </c>
      <c r="K467" t="s">
        <v>37</v>
      </c>
    </row>
    <row r="468" spans="1:11" x14ac:dyDescent="0.35">
      <c r="A468" t="s">
        <v>1367</v>
      </c>
      <c r="B468" t="s">
        <v>1368</v>
      </c>
      <c r="C468" t="str">
        <f t="shared" si="12"/>
        <v>09-22-2023</v>
      </c>
      <c r="D468" t="s">
        <v>1369</v>
      </c>
      <c r="E468" t="s">
        <v>21</v>
      </c>
      <c r="F468" t="s">
        <v>62</v>
      </c>
      <c r="G468" t="s">
        <v>30</v>
      </c>
      <c r="H468" t="s">
        <v>16</v>
      </c>
      <c r="I468" s="3">
        <v>2882</v>
      </c>
      <c r="J468" s="3">
        <v>0</v>
      </c>
      <c r="K468" t="s">
        <v>17</v>
      </c>
    </row>
    <row r="469" spans="1:11" x14ac:dyDescent="0.35">
      <c r="A469" t="s">
        <v>1370</v>
      </c>
      <c r="B469" t="s">
        <v>1371</v>
      </c>
      <c r="C469" t="str">
        <f t="shared" si="12"/>
        <v>03-19-2025 05:16</v>
      </c>
      <c r="D469" t="s">
        <v>1372</v>
      </c>
      <c r="E469" t="s">
        <v>49</v>
      </c>
      <c r="F469" t="s">
        <v>36</v>
      </c>
      <c r="G469" t="s">
        <v>15</v>
      </c>
      <c r="H469" t="s">
        <v>41</v>
      </c>
      <c r="I469" s="3">
        <v>3809</v>
      </c>
      <c r="J469" s="3">
        <v>761.976</v>
      </c>
      <c r="K469" t="s">
        <v>37</v>
      </c>
    </row>
    <row r="470" spans="1:11" x14ac:dyDescent="0.35">
      <c r="A470" t="s">
        <v>1373</v>
      </c>
      <c r="B470" t="s">
        <v>1374</v>
      </c>
      <c r="C470" t="str">
        <f t="shared" si="12"/>
        <v>Saturday-05-2025</v>
      </c>
      <c r="D470" t="s">
        <v>1375</v>
      </c>
      <c r="E470" t="s">
        <v>108</v>
      </c>
      <c r="F470" t="s">
        <v>29</v>
      </c>
      <c r="G470" t="s">
        <v>30</v>
      </c>
      <c r="H470" t="s">
        <v>16</v>
      </c>
      <c r="I470" s="3">
        <v>1331</v>
      </c>
      <c r="J470" s="3">
        <v>266.23200000000003</v>
      </c>
      <c r="K470" t="s">
        <v>37</v>
      </c>
    </row>
    <row r="471" spans="1:11" x14ac:dyDescent="0.35">
      <c r="A471" t="s">
        <v>1376</v>
      </c>
      <c r="B471" t="s">
        <v>1377</v>
      </c>
      <c r="C471" t="str">
        <f t="shared" si="12"/>
        <v>Tuesday-05-2025</v>
      </c>
      <c r="D471" t="s">
        <v>1378</v>
      </c>
      <c r="E471" t="s">
        <v>112</v>
      </c>
      <c r="F471" t="s">
        <v>22</v>
      </c>
      <c r="G471" t="s">
        <v>30</v>
      </c>
      <c r="H471" t="s">
        <v>16</v>
      </c>
      <c r="I471" s="3">
        <v>1840</v>
      </c>
      <c r="J471" s="3">
        <v>0</v>
      </c>
      <c r="K471" t="s">
        <v>17</v>
      </c>
    </row>
    <row r="472" spans="1:11" x14ac:dyDescent="0.35">
      <c r="A472" t="s">
        <v>1379</v>
      </c>
      <c r="B472" t="s">
        <v>1380</v>
      </c>
      <c r="C472" t="str">
        <f t="shared" si="12"/>
        <v>Wednesday-03-2024</v>
      </c>
      <c r="D472" t="s">
        <v>1381</v>
      </c>
      <c r="E472" t="s">
        <v>49</v>
      </c>
      <c r="F472" t="s">
        <v>22</v>
      </c>
      <c r="G472" t="s">
        <v>15</v>
      </c>
      <c r="H472" t="s">
        <v>31</v>
      </c>
      <c r="I472" s="3">
        <v>674</v>
      </c>
      <c r="J472" s="3">
        <v>134.82599999999999</v>
      </c>
      <c r="K472" t="s">
        <v>17</v>
      </c>
    </row>
    <row r="473" spans="1:11" x14ac:dyDescent="0.35">
      <c r="A473" t="s">
        <v>1382</v>
      </c>
      <c r="B473" t="s">
        <v>1383</v>
      </c>
      <c r="C473" t="str">
        <f t="shared" si="12"/>
        <v>12-27-2024</v>
      </c>
      <c r="D473" t="s">
        <v>1384</v>
      </c>
      <c r="E473" t="s">
        <v>61</v>
      </c>
      <c r="F473" t="s">
        <v>29</v>
      </c>
      <c r="G473" t="s">
        <v>30</v>
      </c>
      <c r="H473" t="s">
        <v>41</v>
      </c>
      <c r="I473" s="3">
        <v>2927</v>
      </c>
      <c r="J473" s="3">
        <v>146.3595</v>
      </c>
      <c r="K473" t="s">
        <v>24</v>
      </c>
    </row>
    <row r="474" spans="1:11" x14ac:dyDescent="0.35">
      <c r="A474" t="s">
        <v>1385</v>
      </c>
      <c r="B474" t="s">
        <v>1386</v>
      </c>
      <c r="C474" t="str">
        <f t="shared" si="12"/>
        <v>Wednesday-01-2025</v>
      </c>
      <c r="E474" t="s">
        <v>202</v>
      </c>
      <c r="F474" t="s">
        <v>14</v>
      </c>
      <c r="G474" t="s">
        <v>15</v>
      </c>
      <c r="H474" t="s">
        <v>41</v>
      </c>
      <c r="I474" s="3">
        <v>4439</v>
      </c>
      <c r="J474" s="3">
        <v>295.94866666666661</v>
      </c>
      <c r="K474" t="s">
        <v>17</v>
      </c>
    </row>
    <row r="475" spans="1:11" x14ac:dyDescent="0.35">
      <c r="A475" t="s">
        <v>1387</v>
      </c>
      <c r="B475" t="s">
        <v>1388</v>
      </c>
      <c r="C475" t="str">
        <f t="shared" si="12"/>
        <v>Thursday-01-2023</v>
      </c>
      <c r="D475" t="s">
        <v>1389</v>
      </c>
      <c r="E475" t="s">
        <v>45</v>
      </c>
      <c r="F475" t="s">
        <v>36</v>
      </c>
      <c r="G475" t="s">
        <v>30</v>
      </c>
      <c r="H475" t="s">
        <v>41</v>
      </c>
      <c r="I475" s="3">
        <v>4850</v>
      </c>
      <c r="J475" s="3">
        <v>0</v>
      </c>
      <c r="K475" t="s">
        <v>17</v>
      </c>
    </row>
    <row r="476" spans="1:11" x14ac:dyDescent="0.35">
      <c r="A476" t="s">
        <v>1390</v>
      </c>
      <c r="C476" t="str">
        <f t="shared" si="12"/>
        <v>Saturday-01-1900</v>
      </c>
      <c r="D476" t="s">
        <v>1053</v>
      </c>
      <c r="E476" t="s">
        <v>202</v>
      </c>
      <c r="F476" t="s">
        <v>62</v>
      </c>
      <c r="G476" t="s">
        <v>15</v>
      </c>
      <c r="H476" t="s">
        <v>41</v>
      </c>
      <c r="I476" s="3">
        <v>3466</v>
      </c>
      <c r="J476" s="3">
        <v>0</v>
      </c>
      <c r="K476" t="s">
        <v>37</v>
      </c>
    </row>
    <row r="477" spans="1:11" x14ac:dyDescent="0.35">
      <c r="A477" t="s">
        <v>1391</v>
      </c>
      <c r="B477" t="s">
        <v>1392</v>
      </c>
      <c r="C477" t="str">
        <f t="shared" si="12"/>
        <v>Monday-12-2023</v>
      </c>
      <c r="D477" t="s">
        <v>1393</v>
      </c>
      <c r="E477" t="s">
        <v>45</v>
      </c>
      <c r="F477" t="s">
        <v>22</v>
      </c>
      <c r="G477" t="s">
        <v>23</v>
      </c>
      <c r="H477" t="s">
        <v>41</v>
      </c>
      <c r="I477" s="3">
        <v>2281</v>
      </c>
      <c r="J477" s="3">
        <v>456.31599999999997</v>
      </c>
      <c r="K477" t="s">
        <v>24</v>
      </c>
    </row>
    <row r="478" spans="1:11" x14ac:dyDescent="0.35">
      <c r="A478" t="s">
        <v>1394</v>
      </c>
      <c r="B478" t="s">
        <v>1395</v>
      </c>
      <c r="C478" t="str">
        <f t="shared" si="12"/>
        <v>Wednesday-01-2025</v>
      </c>
      <c r="D478" t="s">
        <v>1396</v>
      </c>
      <c r="E478" t="s">
        <v>49</v>
      </c>
      <c r="F478" t="s">
        <v>86</v>
      </c>
      <c r="G478" t="s">
        <v>15</v>
      </c>
      <c r="H478" t="s">
        <v>16</v>
      </c>
      <c r="I478" s="3">
        <v>89</v>
      </c>
      <c r="J478" s="3">
        <v>0</v>
      </c>
      <c r="K478" t="s">
        <v>17</v>
      </c>
    </row>
    <row r="479" spans="1:11" x14ac:dyDescent="0.35">
      <c r="A479" t="s">
        <v>1397</v>
      </c>
      <c r="B479" t="s">
        <v>1398</v>
      </c>
      <c r="C479" t="str">
        <f t="shared" si="12"/>
        <v>Thursday-01-2025</v>
      </c>
      <c r="D479" t="s">
        <v>1399</v>
      </c>
      <c r="E479" t="s">
        <v>21</v>
      </c>
      <c r="F479" t="s">
        <v>14</v>
      </c>
      <c r="G479" t="s">
        <v>15</v>
      </c>
      <c r="H479" t="s">
        <v>31</v>
      </c>
      <c r="I479" s="3">
        <v>2313</v>
      </c>
      <c r="J479" s="3">
        <v>115.67400000000001</v>
      </c>
      <c r="K479" t="s">
        <v>37</v>
      </c>
    </row>
    <row r="480" spans="1:11" x14ac:dyDescent="0.35">
      <c r="A480" t="s">
        <v>1400</v>
      </c>
      <c r="B480" t="s">
        <v>1401</v>
      </c>
      <c r="C480" t="str">
        <f t="shared" si="12"/>
        <v>Monday-05-2025</v>
      </c>
      <c r="D480" t="s">
        <v>1402</v>
      </c>
      <c r="E480" t="s">
        <v>13</v>
      </c>
      <c r="F480" t="s">
        <v>22</v>
      </c>
      <c r="G480" t="s">
        <v>15</v>
      </c>
      <c r="H480" t="s">
        <v>31</v>
      </c>
      <c r="I480" s="3">
        <v>3508</v>
      </c>
      <c r="J480" s="3">
        <v>350.84199999999998</v>
      </c>
      <c r="K480" t="s">
        <v>37</v>
      </c>
    </row>
    <row r="481" spans="1:11" x14ac:dyDescent="0.35">
      <c r="A481" t="s">
        <v>1403</v>
      </c>
      <c r="B481" t="s">
        <v>1404</v>
      </c>
      <c r="C481" t="str">
        <f t="shared" si="12"/>
        <v>Thursday-05-2024</v>
      </c>
      <c r="D481" t="s">
        <v>1405</v>
      </c>
      <c r="E481" t="s">
        <v>28</v>
      </c>
      <c r="F481" t="s">
        <v>86</v>
      </c>
      <c r="G481" t="s">
        <v>15</v>
      </c>
      <c r="H481" t="s">
        <v>16</v>
      </c>
      <c r="I481" s="3">
        <v>3579</v>
      </c>
      <c r="J481" s="3">
        <v>357.90600000000001</v>
      </c>
      <c r="K481" t="s">
        <v>37</v>
      </c>
    </row>
    <row r="482" spans="1:11" x14ac:dyDescent="0.35">
      <c r="A482" t="s">
        <v>1406</v>
      </c>
      <c r="B482" t="s">
        <v>1407</v>
      </c>
      <c r="C482" t="str">
        <f t="shared" si="12"/>
        <v xml:space="preserve"> 09-04-2023</v>
      </c>
      <c r="D482" t="s">
        <v>1408</v>
      </c>
      <c r="E482" t="s">
        <v>53</v>
      </c>
      <c r="F482" t="s">
        <v>14</v>
      </c>
      <c r="G482" t="s">
        <v>23</v>
      </c>
      <c r="H482" t="s">
        <v>31</v>
      </c>
      <c r="I482" s="3">
        <v>3579</v>
      </c>
      <c r="J482" s="3">
        <v>357.94600000000003</v>
      </c>
      <c r="K482" t="s">
        <v>24</v>
      </c>
    </row>
    <row r="483" spans="1:11" x14ac:dyDescent="0.35">
      <c r="A483" t="s">
        <v>1409</v>
      </c>
      <c r="B483" t="s">
        <v>1410</v>
      </c>
      <c r="C483" t="str">
        <f t="shared" si="12"/>
        <v xml:space="preserve"> 2023-04-29</v>
      </c>
      <c r="D483" t="s">
        <v>1411</v>
      </c>
      <c r="E483" t="s">
        <v>35</v>
      </c>
      <c r="F483" t="s">
        <v>29</v>
      </c>
      <c r="G483" t="s">
        <v>30</v>
      </c>
      <c r="H483" t="s">
        <v>41</v>
      </c>
      <c r="I483" s="3">
        <v>2923</v>
      </c>
      <c r="J483" s="3">
        <v>0</v>
      </c>
      <c r="K483" t="s">
        <v>37</v>
      </c>
    </row>
    <row r="484" spans="1:11" x14ac:dyDescent="0.35">
      <c r="A484" t="s">
        <v>1412</v>
      </c>
      <c r="B484" t="s">
        <v>1413</v>
      </c>
      <c r="C484" t="str">
        <f t="shared" si="12"/>
        <v>Saturday-09-2024</v>
      </c>
      <c r="D484" t="s">
        <v>1414</v>
      </c>
      <c r="E484" t="s">
        <v>28</v>
      </c>
      <c r="F484" t="s">
        <v>36</v>
      </c>
      <c r="G484" t="s">
        <v>30</v>
      </c>
      <c r="H484" t="s">
        <v>31</v>
      </c>
      <c r="I484" s="3">
        <v>4562</v>
      </c>
      <c r="J484" s="3">
        <v>912.52600000000007</v>
      </c>
      <c r="K484" t="s">
        <v>37</v>
      </c>
    </row>
    <row r="485" spans="1:11" x14ac:dyDescent="0.35">
      <c r="A485" t="s">
        <v>1415</v>
      </c>
      <c r="C485" t="str">
        <f t="shared" si="12"/>
        <v>Saturday-01-1900</v>
      </c>
      <c r="D485" t="s">
        <v>1416</v>
      </c>
      <c r="E485" t="s">
        <v>79</v>
      </c>
      <c r="F485" t="s">
        <v>14</v>
      </c>
      <c r="G485" t="s">
        <v>30</v>
      </c>
      <c r="H485" t="s">
        <v>31</v>
      </c>
      <c r="I485" s="3">
        <v>671</v>
      </c>
      <c r="J485" s="3">
        <v>33.591999999999999</v>
      </c>
      <c r="K485" t="s">
        <v>37</v>
      </c>
    </row>
    <row r="486" spans="1:11" x14ac:dyDescent="0.35">
      <c r="A486" t="s">
        <v>1417</v>
      </c>
      <c r="B486" t="s">
        <v>1418</v>
      </c>
      <c r="C486" t="str">
        <f t="shared" si="12"/>
        <v>09-14-2023</v>
      </c>
      <c r="D486" t="s">
        <v>1419</v>
      </c>
      <c r="E486" t="s">
        <v>21</v>
      </c>
      <c r="F486" t="s">
        <v>14</v>
      </c>
      <c r="G486" t="s">
        <v>23</v>
      </c>
      <c r="H486" t="s">
        <v>16</v>
      </c>
      <c r="I486" s="3">
        <v>3140</v>
      </c>
      <c r="J486" s="3">
        <v>209.334</v>
      </c>
      <c r="K486" t="s">
        <v>17</v>
      </c>
    </row>
    <row r="487" spans="1:11" x14ac:dyDescent="0.35">
      <c r="A487" t="s">
        <v>1420</v>
      </c>
      <c r="B487" t="s">
        <v>443</v>
      </c>
      <c r="C487" t="str">
        <f t="shared" si="12"/>
        <v>Friday-06-2025</v>
      </c>
      <c r="D487" t="s">
        <v>1421</v>
      </c>
      <c r="E487" t="s">
        <v>13</v>
      </c>
      <c r="F487" t="s">
        <v>14</v>
      </c>
      <c r="G487" t="s">
        <v>23</v>
      </c>
      <c r="H487" t="s">
        <v>16</v>
      </c>
      <c r="I487" s="3">
        <v>4573</v>
      </c>
      <c r="J487" s="3">
        <v>914.7639999999999</v>
      </c>
      <c r="K487" t="s">
        <v>17</v>
      </c>
    </row>
    <row r="488" spans="1:11" x14ac:dyDescent="0.35">
      <c r="A488" t="s">
        <v>1422</v>
      </c>
      <c r="B488" t="s">
        <v>1423</v>
      </c>
      <c r="C488" t="str">
        <f t="shared" si="12"/>
        <v>Thursday-12-2024</v>
      </c>
      <c r="D488" t="s">
        <v>1424</v>
      </c>
      <c r="E488" t="s">
        <v>49</v>
      </c>
      <c r="F488" t="s">
        <v>36</v>
      </c>
      <c r="G488" t="s">
        <v>15</v>
      </c>
      <c r="H488" t="s">
        <v>41</v>
      </c>
      <c r="I488" s="3">
        <v>1458</v>
      </c>
      <c r="J488" s="3">
        <v>0</v>
      </c>
      <c r="K488" t="s">
        <v>17</v>
      </c>
    </row>
    <row r="489" spans="1:11" x14ac:dyDescent="0.35">
      <c r="A489" t="s">
        <v>1425</v>
      </c>
      <c r="B489" t="s">
        <v>1426</v>
      </c>
      <c r="C489" t="str">
        <f t="shared" si="12"/>
        <v>Sunday-01-2023</v>
      </c>
      <c r="D489" t="s">
        <v>886</v>
      </c>
      <c r="E489" t="s">
        <v>202</v>
      </c>
      <c r="F489" t="s">
        <v>86</v>
      </c>
      <c r="G489" t="s">
        <v>15</v>
      </c>
      <c r="H489" t="s">
        <v>41</v>
      </c>
      <c r="I489" s="3">
        <v>176</v>
      </c>
      <c r="J489" s="3">
        <v>11.79</v>
      </c>
      <c r="K489" t="s">
        <v>24</v>
      </c>
    </row>
    <row r="490" spans="1:11" x14ac:dyDescent="0.35">
      <c r="A490" t="s">
        <v>1427</v>
      </c>
      <c r="B490" t="s">
        <v>164</v>
      </c>
      <c r="C490" t="str">
        <f t="shared" si="12"/>
        <v>Monday-01-2025</v>
      </c>
      <c r="D490" t="s">
        <v>1428</v>
      </c>
      <c r="E490" t="s">
        <v>45</v>
      </c>
      <c r="F490" t="s">
        <v>36</v>
      </c>
      <c r="G490" t="s">
        <v>30</v>
      </c>
      <c r="H490" t="s">
        <v>41</v>
      </c>
      <c r="I490" s="3">
        <v>2224</v>
      </c>
      <c r="J490" s="3">
        <v>222.417</v>
      </c>
      <c r="K490" t="s">
        <v>24</v>
      </c>
    </row>
    <row r="491" spans="1:11" x14ac:dyDescent="0.35">
      <c r="A491" t="s">
        <v>1429</v>
      </c>
      <c r="C491" t="str">
        <f t="shared" si="12"/>
        <v>Saturday-01-1900</v>
      </c>
      <c r="D491" t="s">
        <v>1430</v>
      </c>
      <c r="E491" t="s">
        <v>21</v>
      </c>
      <c r="F491" t="s">
        <v>22</v>
      </c>
      <c r="G491" t="s">
        <v>23</v>
      </c>
      <c r="H491" t="s">
        <v>16</v>
      </c>
      <c r="I491" s="3">
        <v>3570</v>
      </c>
      <c r="J491" s="3">
        <v>178.51749999999998</v>
      </c>
      <c r="K491" t="s">
        <v>37</v>
      </c>
    </row>
    <row r="492" spans="1:11" x14ac:dyDescent="0.35">
      <c r="A492" t="s">
        <v>1431</v>
      </c>
      <c r="B492" t="s">
        <v>1432</v>
      </c>
      <c r="C492" t="str">
        <f t="shared" si="12"/>
        <v>Monday-02-2024</v>
      </c>
      <c r="D492" t="s">
        <v>1433</v>
      </c>
      <c r="E492" t="s">
        <v>103</v>
      </c>
      <c r="F492" t="s">
        <v>14</v>
      </c>
      <c r="G492" t="s">
        <v>15</v>
      </c>
      <c r="H492" t="s">
        <v>41</v>
      </c>
      <c r="I492" s="3">
        <v>3715</v>
      </c>
      <c r="J492" s="3">
        <v>743.11</v>
      </c>
      <c r="K492" t="s">
        <v>17</v>
      </c>
    </row>
    <row r="493" spans="1:11" x14ac:dyDescent="0.35">
      <c r="A493" t="s">
        <v>1434</v>
      </c>
      <c r="B493" t="s">
        <v>1435</v>
      </c>
      <c r="C493" t="str">
        <f t="shared" si="12"/>
        <v xml:space="preserve">02-26-2025 </v>
      </c>
      <c r="D493" t="s">
        <v>1436</v>
      </c>
      <c r="E493" t="s">
        <v>112</v>
      </c>
      <c r="F493" t="s">
        <v>14</v>
      </c>
      <c r="G493" t="s">
        <v>15</v>
      </c>
      <c r="H493" t="s">
        <v>31</v>
      </c>
      <c r="I493" s="3">
        <v>4306</v>
      </c>
      <c r="J493" s="3">
        <v>287.09533333333337</v>
      </c>
      <c r="K493" t="s">
        <v>24</v>
      </c>
    </row>
    <row r="494" spans="1:11" x14ac:dyDescent="0.35">
      <c r="A494" t="s">
        <v>1437</v>
      </c>
      <c r="B494" t="s">
        <v>1438</v>
      </c>
      <c r="C494" t="str">
        <f t="shared" si="12"/>
        <v>Tuesday-10-2023</v>
      </c>
      <c r="D494" t="s">
        <v>1439</v>
      </c>
      <c r="E494" t="s">
        <v>45</v>
      </c>
      <c r="F494" t="s">
        <v>86</v>
      </c>
      <c r="G494" t="s">
        <v>23</v>
      </c>
      <c r="H494" t="s">
        <v>31</v>
      </c>
      <c r="I494" s="3">
        <v>2269</v>
      </c>
      <c r="J494" s="3">
        <v>453.916</v>
      </c>
      <c r="K494" t="s">
        <v>17</v>
      </c>
    </row>
    <row r="495" spans="1:11" x14ac:dyDescent="0.35">
      <c r="A495" t="s">
        <v>1440</v>
      </c>
      <c r="B495" t="s">
        <v>214</v>
      </c>
      <c r="C495" t="str">
        <f t="shared" si="12"/>
        <v>Saturday-04-2024</v>
      </c>
      <c r="D495" t="s">
        <v>1441</v>
      </c>
      <c r="E495" t="s">
        <v>28</v>
      </c>
      <c r="F495" t="s">
        <v>86</v>
      </c>
      <c r="G495" t="s">
        <v>30</v>
      </c>
      <c r="H495" t="s">
        <v>41</v>
      </c>
      <c r="I495" s="3">
        <v>3315</v>
      </c>
      <c r="J495" s="3">
        <v>165.78550000000001</v>
      </c>
      <c r="K495" t="s">
        <v>24</v>
      </c>
    </row>
    <row r="496" spans="1:11" x14ac:dyDescent="0.35">
      <c r="A496" t="s">
        <v>1442</v>
      </c>
      <c r="B496" t="s">
        <v>1443</v>
      </c>
      <c r="C496" t="str">
        <f t="shared" si="12"/>
        <v>Friday-12-2023</v>
      </c>
      <c r="D496" t="s">
        <v>1444</v>
      </c>
      <c r="E496" t="s">
        <v>28</v>
      </c>
      <c r="F496" t="s">
        <v>86</v>
      </c>
      <c r="G496" t="s">
        <v>15</v>
      </c>
      <c r="H496" t="s">
        <v>16</v>
      </c>
      <c r="I496" s="3">
        <v>1994</v>
      </c>
      <c r="J496" s="3">
        <v>0</v>
      </c>
      <c r="K496" t="s">
        <v>24</v>
      </c>
    </row>
    <row r="497" spans="1:11" x14ac:dyDescent="0.35">
      <c r="A497" t="s">
        <v>1445</v>
      </c>
      <c r="B497" t="s">
        <v>1446</v>
      </c>
      <c r="C497" t="str">
        <f t="shared" si="12"/>
        <v>Wednesday-01-2025</v>
      </c>
      <c r="D497" t="s">
        <v>1447</v>
      </c>
      <c r="E497" t="s">
        <v>202</v>
      </c>
      <c r="F497" t="s">
        <v>14</v>
      </c>
      <c r="G497" t="s">
        <v>23</v>
      </c>
      <c r="H497" t="s">
        <v>31</v>
      </c>
      <c r="I497" s="3">
        <v>2493</v>
      </c>
      <c r="J497" s="3">
        <v>498.63400000000001</v>
      </c>
      <c r="K497" t="s">
        <v>24</v>
      </c>
    </row>
    <row r="498" spans="1:11" x14ac:dyDescent="0.35">
      <c r="A498" t="s">
        <v>1448</v>
      </c>
      <c r="C498" t="str">
        <f t="shared" si="12"/>
        <v>Saturday-01-1900</v>
      </c>
      <c r="D498" t="s">
        <v>1449</v>
      </c>
      <c r="E498" t="s">
        <v>28</v>
      </c>
      <c r="F498" t="s">
        <v>36</v>
      </c>
      <c r="G498" t="s">
        <v>23</v>
      </c>
      <c r="H498" t="s">
        <v>31</v>
      </c>
      <c r="I498" s="3">
        <v>4278</v>
      </c>
      <c r="J498" s="3">
        <v>285.25</v>
      </c>
      <c r="K498" t="s">
        <v>24</v>
      </c>
    </row>
    <row r="499" spans="1:11" x14ac:dyDescent="0.35">
      <c r="A499" t="s">
        <v>1450</v>
      </c>
      <c r="C499" t="str">
        <f t="shared" si="12"/>
        <v>Saturday-01-1900</v>
      </c>
      <c r="D499" t="s">
        <v>305</v>
      </c>
      <c r="E499" t="s">
        <v>103</v>
      </c>
      <c r="F499" t="s">
        <v>143</v>
      </c>
      <c r="G499" t="s">
        <v>15</v>
      </c>
      <c r="H499" t="s">
        <v>41</v>
      </c>
      <c r="I499" s="3">
        <v>4383</v>
      </c>
      <c r="J499" s="3">
        <v>876.65400000000011</v>
      </c>
      <c r="K499" t="s">
        <v>17</v>
      </c>
    </row>
    <row r="500" spans="1:11" x14ac:dyDescent="0.35">
      <c r="A500" t="s">
        <v>1451</v>
      </c>
      <c r="B500" t="s">
        <v>1452</v>
      </c>
      <c r="C500" t="str">
        <f t="shared" si="12"/>
        <v>Thursday-03-2025</v>
      </c>
      <c r="D500" t="s">
        <v>1453</v>
      </c>
      <c r="E500" t="s">
        <v>35</v>
      </c>
      <c r="F500" t="s">
        <v>36</v>
      </c>
      <c r="G500" t="s">
        <v>23</v>
      </c>
      <c r="H500" t="s">
        <v>41</v>
      </c>
      <c r="I500" s="3">
        <v>1143</v>
      </c>
      <c r="J500" s="3">
        <v>228.63200000000001</v>
      </c>
      <c r="K500" t="s">
        <v>37</v>
      </c>
    </row>
    <row r="501" spans="1:11" x14ac:dyDescent="0.35">
      <c r="A501" t="s">
        <v>1454</v>
      </c>
      <c r="C501" t="str">
        <f t="shared" si="12"/>
        <v>Saturday-01-1900</v>
      </c>
      <c r="D501" t="s">
        <v>1455</v>
      </c>
      <c r="E501" t="s">
        <v>49</v>
      </c>
      <c r="F501" t="s">
        <v>29</v>
      </c>
      <c r="G501" t="s">
        <v>23</v>
      </c>
      <c r="H501" t="s">
        <v>16</v>
      </c>
      <c r="I501" s="3">
        <v>4476</v>
      </c>
      <c r="J501" s="3">
        <v>447.601</v>
      </c>
      <c r="K501" t="s">
        <v>24</v>
      </c>
    </row>
    <row r="502" spans="1:11" x14ac:dyDescent="0.35">
      <c r="A502" t="s">
        <v>1456</v>
      </c>
      <c r="B502" t="s">
        <v>1457</v>
      </c>
      <c r="C502" t="str">
        <f t="shared" si="12"/>
        <v>Tuesday-04-2025</v>
      </c>
      <c r="D502" t="s">
        <v>1458</v>
      </c>
      <c r="E502" t="s">
        <v>108</v>
      </c>
      <c r="F502" t="s">
        <v>22</v>
      </c>
      <c r="G502" t="s">
        <v>30</v>
      </c>
      <c r="H502" t="s">
        <v>16</v>
      </c>
      <c r="I502" s="3">
        <v>919</v>
      </c>
      <c r="J502" s="3">
        <v>183.88</v>
      </c>
      <c r="K502" t="s">
        <v>17</v>
      </c>
    </row>
    <row r="503" spans="1:11" x14ac:dyDescent="0.35">
      <c r="A503" t="s">
        <v>1459</v>
      </c>
      <c r="B503" t="s">
        <v>1460</v>
      </c>
      <c r="C503" t="str">
        <f t="shared" si="12"/>
        <v>Monday-07-2024</v>
      </c>
      <c r="D503" t="s">
        <v>1461</v>
      </c>
      <c r="E503" t="s">
        <v>375</v>
      </c>
      <c r="F503" t="s">
        <v>22</v>
      </c>
      <c r="G503" t="s">
        <v>15</v>
      </c>
      <c r="H503" t="s">
        <v>16</v>
      </c>
      <c r="I503" s="3">
        <v>315</v>
      </c>
      <c r="J503" s="3">
        <v>63.14</v>
      </c>
      <c r="K503" t="s">
        <v>24</v>
      </c>
    </row>
    <row r="504" spans="1:11" x14ac:dyDescent="0.35">
      <c r="A504" t="s">
        <v>1462</v>
      </c>
      <c r="B504" t="s">
        <v>712</v>
      </c>
      <c r="C504" t="str">
        <f t="shared" si="12"/>
        <v>Thursday-08-2024</v>
      </c>
      <c r="D504" t="s">
        <v>1463</v>
      </c>
      <c r="E504" t="s">
        <v>49</v>
      </c>
      <c r="F504" t="s">
        <v>29</v>
      </c>
      <c r="G504" t="s">
        <v>15</v>
      </c>
      <c r="H504" t="s">
        <v>31</v>
      </c>
      <c r="I504" s="3">
        <v>4316</v>
      </c>
      <c r="J504" s="3">
        <v>863.32600000000002</v>
      </c>
      <c r="K504" t="s">
        <v>24</v>
      </c>
    </row>
    <row r="505" spans="1:11" x14ac:dyDescent="0.35">
      <c r="A505" t="s">
        <v>1464</v>
      </c>
      <c r="B505" t="s">
        <v>1465</v>
      </c>
      <c r="C505" t="str">
        <f t="shared" si="12"/>
        <v>Friday-01-2023</v>
      </c>
      <c r="D505" t="s">
        <v>1466</v>
      </c>
      <c r="E505" t="s">
        <v>28</v>
      </c>
      <c r="F505" t="s">
        <v>57</v>
      </c>
      <c r="G505" t="s">
        <v>15</v>
      </c>
      <c r="H505" t="s">
        <v>41</v>
      </c>
      <c r="I505" s="3">
        <v>4018</v>
      </c>
      <c r="J505" s="3">
        <v>0</v>
      </c>
      <c r="K505" t="s">
        <v>37</v>
      </c>
    </row>
    <row r="506" spans="1:11" x14ac:dyDescent="0.35">
      <c r="A506" t="s">
        <v>1467</v>
      </c>
      <c r="B506" t="s">
        <v>1468</v>
      </c>
      <c r="C506" t="str">
        <f t="shared" si="12"/>
        <v>Friday-01-2024</v>
      </c>
      <c r="D506" t="s">
        <v>1469</v>
      </c>
      <c r="E506" t="s">
        <v>35</v>
      </c>
      <c r="F506" t="s">
        <v>86</v>
      </c>
      <c r="G506" t="s">
        <v>15</v>
      </c>
      <c r="H506" t="s">
        <v>16</v>
      </c>
      <c r="I506" s="3">
        <v>4880</v>
      </c>
      <c r="J506" s="3">
        <v>325.36266666666666</v>
      </c>
      <c r="K506" t="s">
        <v>37</v>
      </c>
    </row>
    <row r="507" spans="1:11" x14ac:dyDescent="0.35">
      <c r="A507" t="s">
        <v>1470</v>
      </c>
      <c r="B507" t="s">
        <v>1471</v>
      </c>
      <c r="C507" t="str">
        <f t="shared" si="12"/>
        <v xml:space="preserve"> 18 July 2023 04:11</v>
      </c>
      <c r="D507" t="s">
        <v>1472</v>
      </c>
      <c r="E507" t="s">
        <v>253</v>
      </c>
      <c r="F507" t="s">
        <v>29</v>
      </c>
      <c r="G507" t="s">
        <v>30</v>
      </c>
      <c r="H507" t="s">
        <v>41</v>
      </c>
      <c r="I507" s="3">
        <v>3739</v>
      </c>
      <c r="J507" s="3">
        <v>249.29666666666665</v>
      </c>
      <c r="K507" t="s">
        <v>24</v>
      </c>
    </row>
    <row r="508" spans="1:11" x14ac:dyDescent="0.35">
      <c r="A508" t="s">
        <v>1473</v>
      </c>
      <c r="B508" t="s">
        <v>1474</v>
      </c>
      <c r="C508" t="str">
        <f t="shared" si="12"/>
        <v xml:space="preserve"> 10-26-2023 </v>
      </c>
      <c r="D508" t="s">
        <v>1475</v>
      </c>
      <c r="E508" t="s">
        <v>108</v>
      </c>
      <c r="F508" t="s">
        <v>36</v>
      </c>
      <c r="G508" t="s">
        <v>23</v>
      </c>
      <c r="H508" t="s">
        <v>41</v>
      </c>
      <c r="I508" s="3">
        <v>2904</v>
      </c>
      <c r="J508" s="3">
        <v>290.447</v>
      </c>
      <c r="K508" t="s">
        <v>24</v>
      </c>
    </row>
    <row r="509" spans="1:11" x14ac:dyDescent="0.35">
      <c r="A509" t="s">
        <v>1476</v>
      </c>
      <c r="B509" t="s">
        <v>1477</v>
      </c>
      <c r="C509" t="str">
        <f t="shared" si="12"/>
        <v>Tuesday-08-2023</v>
      </c>
      <c r="D509" t="s">
        <v>549</v>
      </c>
      <c r="E509" t="s">
        <v>103</v>
      </c>
      <c r="F509" t="s">
        <v>57</v>
      </c>
      <c r="G509" t="s">
        <v>15</v>
      </c>
      <c r="H509" t="s">
        <v>16</v>
      </c>
      <c r="I509" s="3">
        <v>4535</v>
      </c>
      <c r="J509" s="3">
        <v>453.59899999999999</v>
      </c>
      <c r="K509" t="s">
        <v>24</v>
      </c>
    </row>
    <row r="510" spans="1:11" x14ac:dyDescent="0.35">
      <c r="A510" t="s">
        <v>1478</v>
      </c>
      <c r="B510" t="s">
        <v>1479</v>
      </c>
      <c r="C510" t="str">
        <f t="shared" si="12"/>
        <v xml:space="preserve"> 20-Mar-2024</v>
      </c>
      <c r="D510" t="s">
        <v>1480</v>
      </c>
      <c r="E510" t="s">
        <v>112</v>
      </c>
      <c r="F510" t="s">
        <v>57</v>
      </c>
      <c r="G510" t="s">
        <v>30</v>
      </c>
      <c r="H510" t="s">
        <v>16</v>
      </c>
      <c r="I510" s="3">
        <v>1246</v>
      </c>
      <c r="J510" s="3">
        <v>0</v>
      </c>
      <c r="K510" t="s">
        <v>17</v>
      </c>
    </row>
    <row r="511" spans="1:11" x14ac:dyDescent="0.35">
      <c r="A511" t="s">
        <v>1481</v>
      </c>
      <c r="B511" t="s">
        <v>1482</v>
      </c>
      <c r="C511" t="str">
        <f t="shared" si="12"/>
        <v>Monday-03-2024</v>
      </c>
      <c r="D511" t="s">
        <v>1483</v>
      </c>
      <c r="E511" t="s">
        <v>49</v>
      </c>
      <c r="F511" t="s">
        <v>36</v>
      </c>
      <c r="G511" t="s">
        <v>23</v>
      </c>
      <c r="H511" t="s">
        <v>31</v>
      </c>
      <c r="I511" s="3">
        <v>4587</v>
      </c>
      <c r="J511" s="3">
        <v>229.38649999999998</v>
      </c>
      <c r="K511" t="s">
        <v>24</v>
      </c>
    </row>
    <row r="512" spans="1:11" x14ac:dyDescent="0.35">
      <c r="A512" t="s">
        <v>1484</v>
      </c>
      <c r="B512" t="s">
        <v>1485</v>
      </c>
      <c r="C512" t="str">
        <f t="shared" si="12"/>
        <v>Wednesday-04-2025</v>
      </c>
      <c r="D512" t="s">
        <v>1486</v>
      </c>
      <c r="E512" t="s">
        <v>13</v>
      </c>
      <c r="F512" t="s">
        <v>22</v>
      </c>
      <c r="G512" t="s">
        <v>30</v>
      </c>
      <c r="H512" t="s">
        <v>41</v>
      </c>
      <c r="I512" s="3">
        <v>4345</v>
      </c>
      <c r="J512" s="3">
        <v>434.50299999999999</v>
      </c>
      <c r="K512" t="s">
        <v>24</v>
      </c>
    </row>
    <row r="513" spans="1:11" x14ac:dyDescent="0.35">
      <c r="A513" t="s">
        <v>1487</v>
      </c>
      <c r="C513" t="str">
        <f t="shared" si="12"/>
        <v>Saturday-01-1900</v>
      </c>
      <c r="D513" t="s">
        <v>1488</v>
      </c>
      <c r="E513" t="s">
        <v>108</v>
      </c>
      <c r="F513" t="s">
        <v>66</v>
      </c>
      <c r="G513" t="s">
        <v>30</v>
      </c>
      <c r="H513" t="s">
        <v>41</v>
      </c>
      <c r="I513" s="3">
        <v>3686</v>
      </c>
      <c r="J513" s="3">
        <v>184.321</v>
      </c>
      <c r="K513" t="s">
        <v>17</v>
      </c>
    </row>
    <row r="514" spans="1:11" x14ac:dyDescent="0.35">
      <c r="A514" t="s">
        <v>1489</v>
      </c>
      <c r="B514" t="s">
        <v>1490</v>
      </c>
      <c r="C514" t="str">
        <f t="shared" si="12"/>
        <v>Monday-04-2024</v>
      </c>
      <c r="D514" t="s">
        <v>1491</v>
      </c>
      <c r="E514" t="s">
        <v>28</v>
      </c>
      <c r="F514" t="s">
        <v>66</v>
      </c>
      <c r="G514" t="s">
        <v>15</v>
      </c>
      <c r="H514" t="s">
        <v>31</v>
      </c>
      <c r="I514" s="3">
        <v>2468</v>
      </c>
      <c r="J514" s="3">
        <v>0</v>
      </c>
      <c r="K514" t="s">
        <v>24</v>
      </c>
    </row>
    <row r="515" spans="1:11" x14ac:dyDescent="0.35">
      <c r="A515" t="s">
        <v>1492</v>
      </c>
      <c r="B515" t="s">
        <v>1493</v>
      </c>
      <c r="C515" t="str">
        <f t="shared" ref="C515:C578" si="13">TEXT(B515,"dddd-mm-yyyy")</f>
        <v>Tuesday-03-2025</v>
      </c>
      <c r="D515" t="s">
        <v>1494</v>
      </c>
      <c r="E515" t="s">
        <v>13</v>
      </c>
      <c r="F515" t="s">
        <v>36</v>
      </c>
      <c r="G515" t="s">
        <v>30</v>
      </c>
      <c r="H515" t="s">
        <v>16</v>
      </c>
      <c r="I515" s="3">
        <v>2065</v>
      </c>
      <c r="J515" s="3">
        <v>103.26649999999999</v>
      </c>
      <c r="K515" t="s">
        <v>37</v>
      </c>
    </row>
    <row r="516" spans="1:11" x14ac:dyDescent="0.35">
      <c r="A516" t="s">
        <v>1495</v>
      </c>
      <c r="B516" t="s">
        <v>1496</v>
      </c>
      <c r="C516" t="str">
        <f t="shared" si="13"/>
        <v>Wednesday-02-2025</v>
      </c>
      <c r="E516" t="s">
        <v>103</v>
      </c>
      <c r="F516" t="s">
        <v>57</v>
      </c>
      <c r="G516" t="s">
        <v>30</v>
      </c>
      <c r="H516" t="s">
        <v>41</v>
      </c>
      <c r="I516" s="3">
        <v>1167</v>
      </c>
      <c r="J516" s="3">
        <v>77.817999999999998</v>
      </c>
      <c r="K516" t="s">
        <v>17</v>
      </c>
    </row>
    <row r="517" spans="1:11" x14ac:dyDescent="0.35">
      <c r="A517" t="s">
        <v>1497</v>
      </c>
      <c r="B517" t="s">
        <v>1498</v>
      </c>
      <c r="C517" t="str">
        <f t="shared" si="13"/>
        <v>Tuesday-01-2025</v>
      </c>
      <c r="D517" t="s">
        <v>1499</v>
      </c>
      <c r="E517" t="s">
        <v>35</v>
      </c>
      <c r="F517" t="s">
        <v>143</v>
      </c>
      <c r="G517" t="s">
        <v>30</v>
      </c>
      <c r="H517" t="s">
        <v>16</v>
      </c>
      <c r="I517" s="3">
        <v>618</v>
      </c>
      <c r="J517" s="3">
        <v>0</v>
      </c>
      <c r="K517" t="s">
        <v>24</v>
      </c>
    </row>
    <row r="518" spans="1:11" x14ac:dyDescent="0.35">
      <c r="A518" t="s">
        <v>1500</v>
      </c>
      <c r="B518" t="s">
        <v>1501</v>
      </c>
      <c r="C518" t="str">
        <f t="shared" si="13"/>
        <v>Monday-03-2025</v>
      </c>
      <c r="D518" t="s">
        <v>1502</v>
      </c>
      <c r="E518" t="s">
        <v>202</v>
      </c>
      <c r="F518" t="s">
        <v>86</v>
      </c>
      <c r="G518" t="s">
        <v>30</v>
      </c>
      <c r="H518" t="s">
        <v>16</v>
      </c>
      <c r="I518" s="3">
        <v>702</v>
      </c>
      <c r="J518" s="3">
        <v>70.242999999999995</v>
      </c>
      <c r="K518" t="s">
        <v>37</v>
      </c>
    </row>
    <row r="519" spans="1:11" x14ac:dyDescent="0.35">
      <c r="A519" t="s">
        <v>1503</v>
      </c>
      <c r="B519" t="s">
        <v>1504</v>
      </c>
      <c r="C519" t="str">
        <f t="shared" si="13"/>
        <v>Friday-03-2023</v>
      </c>
      <c r="D519" t="s">
        <v>1505</v>
      </c>
      <c r="E519" t="s">
        <v>108</v>
      </c>
      <c r="F519" t="s">
        <v>86</v>
      </c>
      <c r="G519" t="s">
        <v>30</v>
      </c>
      <c r="H519" t="s">
        <v>41</v>
      </c>
      <c r="I519" s="3">
        <v>2106</v>
      </c>
      <c r="J519" s="3">
        <v>105.309</v>
      </c>
      <c r="K519" t="s">
        <v>24</v>
      </c>
    </row>
    <row r="520" spans="1:11" x14ac:dyDescent="0.35">
      <c r="A520" t="s">
        <v>1506</v>
      </c>
      <c r="B520" t="s">
        <v>1507</v>
      </c>
      <c r="C520" t="str">
        <f t="shared" si="13"/>
        <v>Friday-04-2023</v>
      </c>
      <c r="D520" t="s">
        <v>1508</v>
      </c>
      <c r="E520" t="s">
        <v>45</v>
      </c>
      <c r="F520" t="s">
        <v>29</v>
      </c>
      <c r="G520" t="s">
        <v>23</v>
      </c>
      <c r="H520" t="s">
        <v>41</v>
      </c>
      <c r="I520" s="3">
        <v>2080</v>
      </c>
      <c r="J520" s="3">
        <v>416.12</v>
      </c>
      <c r="K520" t="s">
        <v>24</v>
      </c>
    </row>
    <row r="521" spans="1:11" x14ac:dyDescent="0.35">
      <c r="A521" t="s">
        <v>1509</v>
      </c>
      <c r="B521" t="s">
        <v>1510</v>
      </c>
      <c r="C521" t="str">
        <f t="shared" si="13"/>
        <v>Thursday-02-2023</v>
      </c>
      <c r="D521" t="s">
        <v>1511</v>
      </c>
      <c r="E521" t="s">
        <v>103</v>
      </c>
      <c r="F521" t="s">
        <v>22</v>
      </c>
      <c r="G521" t="s">
        <v>15</v>
      </c>
      <c r="H521" t="s">
        <v>31</v>
      </c>
      <c r="I521" s="3">
        <v>649</v>
      </c>
      <c r="J521" s="3">
        <v>64.955999999999989</v>
      </c>
      <c r="K521" t="s">
        <v>24</v>
      </c>
    </row>
    <row r="522" spans="1:11" x14ac:dyDescent="0.35">
      <c r="A522" t="s">
        <v>1512</v>
      </c>
      <c r="B522" t="s">
        <v>1513</v>
      </c>
      <c r="C522" t="str">
        <f t="shared" si="13"/>
        <v>Friday-04-2023</v>
      </c>
      <c r="D522" t="s">
        <v>1514</v>
      </c>
      <c r="E522" t="s">
        <v>45</v>
      </c>
      <c r="F522" t="s">
        <v>99</v>
      </c>
      <c r="G522" t="s">
        <v>23</v>
      </c>
      <c r="H522" t="s">
        <v>41</v>
      </c>
      <c r="I522" s="3">
        <v>3423</v>
      </c>
      <c r="J522" s="3">
        <v>0</v>
      </c>
      <c r="K522" t="s">
        <v>37</v>
      </c>
    </row>
    <row r="523" spans="1:11" x14ac:dyDescent="0.35">
      <c r="A523" t="s">
        <v>1515</v>
      </c>
      <c r="B523" t="s">
        <v>1516</v>
      </c>
      <c r="C523" t="str">
        <f t="shared" si="13"/>
        <v>Saturday-12-2023</v>
      </c>
      <c r="D523" t="s">
        <v>1517</v>
      </c>
      <c r="E523" t="s">
        <v>28</v>
      </c>
      <c r="F523" t="s">
        <v>29</v>
      </c>
      <c r="G523" t="s">
        <v>15</v>
      </c>
      <c r="H523" t="s">
        <v>41</v>
      </c>
      <c r="I523" s="3">
        <v>4829</v>
      </c>
      <c r="J523" s="3">
        <v>321.94400000000002</v>
      </c>
      <c r="K523" t="s">
        <v>37</v>
      </c>
    </row>
    <row r="524" spans="1:11" x14ac:dyDescent="0.35">
      <c r="A524" t="s">
        <v>1518</v>
      </c>
      <c r="B524" t="s">
        <v>1519</v>
      </c>
      <c r="C524" t="str">
        <f t="shared" si="13"/>
        <v>01-29-2023</v>
      </c>
      <c r="D524" t="s">
        <v>1520</v>
      </c>
      <c r="E524" t="s">
        <v>108</v>
      </c>
      <c r="F524" t="s">
        <v>29</v>
      </c>
      <c r="G524" t="s">
        <v>15</v>
      </c>
      <c r="H524" t="s">
        <v>31</v>
      </c>
      <c r="I524" s="3">
        <v>4412</v>
      </c>
      <c r="J524" s="3">
        <v>441.274</v>
      </c>
      <c r="K524" t="s">
        <v>37</v>
      </c>
    </row>
    <row r="525" spans="1:11" x14ac:dyDescent="0.35">
      <c r="A525" t="s">
        <v>1521</v>
      </c>
      <c r="B525" t="s">
        <v>1132</v>
      </c>
      <c r="C525" t="str">
        <f t="shared" si="13"/>
        <v>Saturday-12-2023</v>
      </c>
      <c r="D525" t="s">
        <v>1522</v>
      </c>
      <c r="E525" t="s">
        <v>45</v>
      </c>
      <c r="F525" t="s">
        <v>36</v>
      </c>
      <c r="G525" t="s">
        <v>30</v>
      </c>
      <c r="H525" t="s">
        <v>16</v>
      </c>
      <c r="I525" s="3">
        <v>4784</v>
      </c>
      <c r="J525" s="3">
        <v>956.9799999999999</v>
      </c>
      <c r="K525" t="s">
        <v>24</v>
      </c>
    </row>
    <row r="526" spans="1:11" x14ac:dyDescent="0.35">
      <c r="A526" t="s">
        <v>1523</v>
      </c>
      <c r="B526" t="s">
        <v>1524</v>
      </c>
      <c r="C526" t="str">
        <f t="shared" si="13"/>
        <v>Tuesday-07-2023</v>
      </c>
      <c r="D526" t="s">
        <v>1525</v>
      </c>
      <c r="E526" t="s">
        <v>45</v>
      </c>
      <c r="F526" t="s">
        <v>29</v>
      </c>
      <c r="G526" t="s">
        <v>15</v>
      </c>
      <c r="H526" t="s">
        <v>16</v>
      </c>
      <c r="I526" s="3">
        <v>4316</v>
      </c>
      <c r="J526" s="3">
        <v>431.65200000000004</v>
      </c>
      <c r="K526" t="s">
        <v>17</v>
      </c>
    </row>
    <row r="527" spans="1:11" x14ac:dyDescent="0.35">
      <c r="A527" t="s">
        <v>1526</v>
      </c>
      <c r="B527" t="s">
        <v>1527</v>
      </c>
      <c r="C527" t="str">
        <f t="shared" si="13"/>
        <v>Monday-11-2024</v>
      </c>
      <c r="D527" t="s">
        <v>1528</v>
      </c>
      <c r="E527" t="s">
        <v>61</v>
      </c>
      <c r="F527" t="s">
        <v>86</v>
      </c>
      <c r="G527" t="s">
        <v>15</v>
      </c>
      <c r="H527" t="s">
        <v>41</v>
      </c>
      <c r="I527" s="3">
        <v>4863</v>
      </c>
      <c r="J527" s="3">
        <v>324.23666666666668</v>
      </c>
      <c r="K527" t="s">
        <v>24</v>
      </c>
    </row>
    <row r="528" spans="1:11" x14ac:dyDescent="0.35">
      <c r="A528" t="s">
        <v>1529</v>
      </c>
      <c r="B528" t="s">
        <v>1530</v>
      </c>
      <c r="C528" t="str">
        <f t="shared" si="13"/>
        <v>Monday-02-2024</v>
      </c>
      <c r="D528" t="s">
        <v>1531</v>
      </c>
      <c r="E528" t="s">
        <v>112</v>
      </c>
      <c r="F528" t="s">
        <v>29</v>
      </c>
      <c r="G528" t="s">
        <v>23</v>
      </c>
      <c r="H528" t="s">
        <v>16</v>
      </c>
      <c r="I528" s="3">
        <v>1736</v>
      </c>
      <c r="J528" s="3">
        <v>173.607</v>
      </c>
      <c r="K528" t="s">
        <v>24</v>
      </c>
    </row>
    <row r="529" spans="1:11" x14ac:dyDescent="0.35">
      <c r="A529" t="s">
        <v>1532</v>
      </c>
      <c r="B529" t="s">
        <v>1533</v>
      </c>
      <c r="C529" t="str">
        <f t="shared" si="13"/>
        <v>Wednesday-12-2023</v>
      </c>
      <c r="D529" t="s">
        <v>1534</v>
      </c>
      <c r="E529" t="s">
        <v>53</v>
      </c>
      <c r="F529" t="s">
        <v>62</v>
      </c>
      <c r="G529" t="s">
        <v>30</v>
      </c>
      <c r="H529" t="s">
        <v>41</v>
      </c>
      <c r="I529" s="3">
        <v>4751</v>
      </c>
      <c r="J529" s="3">
        <v>0</v>
      </c>
      <c r="K529" t="s">
        <v>37</v>
      </c>
    </row>
    <row r="530" spans="1:11" x14ac:dyDescent="0.35">
      <c r="A530" t="s">
        <v>1535</v>
      </c>
      <c r="B530" t="s">
        <v>1536</v>
      </c>
      <c r="C530" t="str">
        <f t="shared" si="13"/>
        <v>Sunday-01-2025</v>
      </c>
      <c r="D530" t="s">
        <v>1537</v>
      </c>
      <c r="E530" t="s">
        <v>28</v>
      </c>
      <c r="F530" t="s">
        <v>36</v>
      </c>
      <c r="G530" t="s">
        <v>15</v>
      </c>
      <c r="H530" t="s">
        <v>16</v>
      </c>
      <c r="I530" s="3">
        <v>1051</v>
      </c>
      <c r="J530" s="3">
        <v>105.15299999999999</v>
      </c>
      <c r="K530" t="s">
        <v>17</v>
      </c>
    </row>
    <row r="531" spans="1:11" x14ac:dyDescent="0.35">
      <c r="A531" t="s">
        <v>1538</v>
      </c>
      <c r="B531" t="s">
        <v>1539</v>
      </c>
      <c r="C531" t="str">
        <f t="shared" si="13"/>
        <v>Wednesday-03-2023</v>
      </c>
      <c r="D531" t="s">
        <v>1540</v>
      </c>
      <c r="E531" t="s">
        <v>28</v>
      </c>
      <c r="F531" t="s">
        <v>14</v>
      </c>
      <c r="G531" t="s">
        <v>23</v>
      </c>
      <c r="H531" t="s">
        <v>16</v>
      </c>
      <c r="I531" s="3">
        <v>3377</v>
      </c>
      <c r="J531" s="3">
        <v>675.47399999999993</v>
      </c>
      <c r="K531" t="s">
        <v>17</v>
      </c>
    </row>
    <row r="532" spans="1:11" x14ac:dyDescent="0.35">
      <c r="A532" t="s">
        <v>1541</v>
      </c>
      <c r="B532" t="s">
        <v>1542</v>
      </c>
      <c r="C532" t="str">
        <f t="shared" si="13"/>
        <v>Monday-01-2024</v>
      </c>
      <c r="D532" t="s">
        <v>1543</v>
      </c>
      <c r="E532" t="s">
        <v>202</v>
      </c>
      <c r="F532" t="s">
        <v>14</v>
      </c>
      <c r="G532" t="s">
        <v>30</v>
      </c>
      <c r="H532" t="s">
        <v>31</v>
      </c>
      <c r="I532" s="3">
        <v>764</v>
      </c>
      <c r="J532" s="3">
        <v>76.402000000000001</v>
      </c>
      <c r="K532" t="s">
        <v>37</v>
      </c>
    </row>
    <row r="533" spans="1:11" x14ac:dyDescent="0.35">
      <c r="A533" t="s">
        <v>1544</v>
      </c>
      <c r="B533" t="s">
        <v>1357</v>
      </c>
      <c r="C533" t="str">
        <f t="shared" si="13"/>
        <v>Sunday-12-2023</v>
      </c>
      <c r="D533" t="s">
        <v>1545</v>
      </c>
      <c r="E533" t="s">
        <v>108</v>
      </c>
      <c r="F533" t="s">
        <v>143</v>
      </c>
      <c r="G533" t="s">
        <v>15</v>
      </c>
      <c r="H533" t="s">
        <v>31</v>
      </c>
      <c r="I533" s="3">
        <v>1980</v>
      </c>
      <c r="J533" s="3">
        <v>132.02066666666667</v>
      </c>
      <c r="K533" t="s">
        <v>24</v>
      </c>
    </row>
    <row r="534" spans="1:11" x14ac:dyDescent="0.35">
      <c r="A534" t="s">
        <v>1546</v>
      </c>
      <c r="B534" t="s">
        <v>1547</v>
      </c>
      <c r="C534" t="str">
        <f t="shared" si="13"/>
        <v>Wednesday-08-2024</v>
      </c>
      <c r="D534" t="s">
        <v>529</v>
      </c>
      <c r="E534" t="s">
        <v>45</v>
      </c>
      <c r="F534" t="s">
        <v>22</v>
      </c>
      <c r="G534" t="s">
        <v>23</v>
      </c>
      <c r="H534" t="s">
        <v>31</v>
      </c>
      <c r="I534" s="3">
        <v>1602</v>
      </c>
      <c r="J534" s="3">
        <v>160.29500000000002</v>
      </c>
      <c r="K534" t="s">
        <v>17</v>
      </c>
    </row>
    <row r="535" spans="1:11" x14ac:dyDescent="0.35">
      <c r="A535" t="s">
        <v>1548</v>
      </c>
      <c r="B535" t="s">
        <v>1549</v>
      </c>
      <c r="C535" t="str">
        <f t="shared" si="13"/>
        <v>Saturday-09-2024</v>
      </c>
      <c r="D535" t="s">
        <v>1241</v>
      </c>
      <c r="E535" t="s">
        <v>108</v>
      </c>
      <c r="F535" t="s">
        <v>57</v>
      </c>
      <c r="G535" t="s">
        <v>30</v>
      </c>
      <c r="H535" t="s">
        <v>41</v>
      </c>
      <c r="I535" s="3">
        <v>1919</v>
      </c>
      <c r="J535" s="3">
        <v>127.96000000000001</v>
      </c>
      <c r="K535" t="s">
        <v>17</v>
      </c>
    </row>
    <row r="536" spans="1:11" x14ac:dyDescent="0.35">
      <c r="A536" t="s">
        <v>1550</v>
      </c>
      <c r="B536" t="s">
        <v>1551</v>
      </c>
      <c r="C536" t="str">
        <f t="shared" si="13"/>
        <v>Saturday-05-2025</v>
      </c>
      <c r="D536" t="s">
        <v>1552</v>
      </c>
      <c r="E536" t="s">
        <v>13</v>
      </c>
      <c r="F536" t="s">
        <v>14</v>
      </c>
      <c r="G536" t="s">
        <v>23</v>
      </c>
      <c r="H536" t="s">
        <v>41</v>
      </c>
      <c r="I536" s="3">
        <v>1990</v>
      </c>
      <c r="J536" s="3">
        <v>99.520499999999998</v>
      </c>
      <c r="K536" t="s">
        <v>24</v>
      </c>
    </row>
    <row r="537" spans="1:11" x14ac:dyDescent="0.35">
      <c r="A537" t="s">
        <v>1553</v>
      </c>
      <c r="B537" t="s">
        <v>955</v>
      </c>
      <c r="C537" t="str">
        <f t="shared" si="13"/>
        <v>Tuesday-11-2024</v>
      </c>
      <c r="D537" t="s">
        <v>1554</v>
      </c>
      <c r="E537" t="s">
        <v>35</v>
      </c>
      <c r="F537" t="s">
        <v>14</v>
      </c>
      <c r="G537" t="s">
        <v>15</v>
      </c>
      <c r="H537" t="s">
        <v>16</v>
      </c>
      <c r="I537" s="3">
        <v>3408</v>
      </c>
      <c r="J537" s="3">
        <v>227.21133333333333</v>
      </c>
      <c r="K537" t="s">
        <v>37</v>
      </c>
    </row>
    <row r="538" spans="1:11" x14ac:dyDescent="0.35">
      <c r="A538" t="s">
        <v>1555</v>
      </c>
      <c r="B538" t="s">
        <v>1556</v>
      </c>
      <c r="C538" t="str">
        <f t="shared" si="13"/>
        <v>Wednesday-02-2023</v>
      </c>
      <c r="D538" t="s">
        <v>1557</v>
      </c>
      <c r="E538" t="s">
        <v>45</v>
      </c>
      <c r="F538" t="s">
        <v>57</v>
      </c>
      <c r="G538" t="s">
        <v>23</v>
      </c>
      <c r="H538" t="s">
        <v>31</v>
      </c>
      <c r="I538" s="3">
        <v>4679</v>
      </c>
      <c r="J538" s="3">
        <v>467.976</v>
      </c>
      <c r="K538" t="s">
        <v>24</v>
      </c>
    </row>
    <row r="539" spans="1:11" x14ac:dyDescent="0.35">
      <c r="A539" t="s">
        <v>1558</v>
      </c>
      <c r="B539" t="s">
        <v>1410</v>
      </c>
      <c r="C539" t="str">
        <f t="shared" si="13"/>
        <v xml:space="preserve"> 2023-04-29</v>
      </c>
      <c r="D539" t="s">
        <v>1559</v>
      </c>
      <c r="E539" t="s">
        <v>28</v>
      </c>
      <c r="F539" t="s">
        <v>14</v>
      </c>
      <c r="G539" t="s">
        <v>15</v>
      </c>
      <c r="H539" t="s">
        <v>31</v>
      </c>
      <c r="I539" s="3">
        <v>4680</v>
      </c>
      <c r="J539" s="3">
        <v>468.02299999999997</v>
      </c>
      <c r="K539" t="s">
        <v>17</v>
      </c>
    </row>
    <row r="540" spans="1:11" x14ac:dyDescent="0.35">
      <c r="A540" t="s">
        <v>1560</v>
      </c>
      <c r="B540" t="s">
        <v>1561</v>
      </c>
      <c r="C540" t="str">
        <f t="shared" si="13"/>
        <v>Sunday-04-2025</v>
      </c>
      <c r="E540" t="s">
        <v>53</v>
      </c>
      <c r="F540" t="s">
        <v>86</v>
      </c>
      <c r="G540" t="s">
        <v>15</v>
      </c>
      <c r="H540" t="s">
        <v>16</v>
      </c>
      <c r="I540" s="3">
        <v>4940</v>
      </c>
      <c r="J540" s="3">
        <v>0</v>
      </c>
      <c r="K540" t="s">
        <v>24</v>
      </c>
    </row>
    <row r="541" spans="1:11" x14ac:dyDescent="0.35">
      <c r="A541" t="s">
        <v>1562</v>
      </c>
      <c r="B541" t="s">
        <v>1563</v>
      </c>
      <c r="C541" t="str">
        <f t="shared" si="13"/>
        <v>Tuesday-05-2023</v>
      </c>
      <c r="D541" t="s">
        <v>1564</v>
      </c>
      <c r="E541" t="s">
        <v>35</v>
      </c>
      <c r="F541" t="s">
        <v>22</v>
      </c>
      <c r="G541" t="s">
        <v>23</v>
      </c>
      <c r="H541" t="s">
        <v>41</v>
      </c>
      <c r="I541" s="3">
        <v>4480</v>
      </c>
      <c r="J541" s="3">
        <v>896.05200000000002</v>
      </c>
      <c r="K541" t="s">
        <v>24</v>
      </c>
    </row>
    <row r="542" spans="1:11" x14ac:dyDescent="0.35">
      <c r="A542" t="s">
        <v>1565</v>
      </c>
      <c r="B542" t="s">
        <v>745</v>
      </c>
      <c r="C542" t="str">
        <f t="shared" si="13"/>
        <v>Wednesday-06-2024</v>
      </c>
      <c r="D542" t="s">
        <v>999</v>
      </c>
      <c r="E542" t="s">
        <v>35</v>
      </c>
      <c r="F542" t="s">
        <v>22</v>
      </c>
      <c r="G542" t="s">
        <v>23</v>
      </c>
      <c r="H542" t="s">
        <v>31</v>
      </c>
      <c r="I542" s="3">
        <v>3130</v>
      </c>
      <c r="J542" s="3">
        <v>0</v>
      </c>
      <c r="K542" t="s">
        <v>24</v>
      </c>
    </row>
    <row r="543" spans="1:11" x14ac:dyDescent="0.35">
      <c r="A543" t="s">
        <v>1566</v>
      </c>
      <c r="C543" t="str">
        <f t="shared" si="13"/>
        <v>Saturday-01-1900</v>
      </c>
      <c r="D543" t="s">
        <v>276</v>
      </c>
      <c r="E543" t="s">
        <v>108</v>
      </c>
      <c r="F543" t="s">
        <v>29</v>
      </c>
      <c r="G543" t="s">
        <v>30</v>
      </c>
      <c r="H543" t="s">
        <v>41</v>
      </c>
      <c r="I543" s="3">
        <v>740</v>
      </c>
      <c r="J543" s="3">
        <v>49.383333333333333</v>
      </c>
      <c r="K543" t="s">
        <v>24</v>
      </c>
    </row>
    <row r="544" spans="1:11" x14ac:dyDescent="0.35">
      <c r="A544" t="s">
        <v>1567</v>
      </c>
      <c r="B544" t="s">
        <v>1568</v>
      </c>
      <c r="C544" t="str">
        <f t="shared" si="13"/>
        <v>Sunday-10-2023</v>
      </c>
      <c r="D544" t="s">
        <v>1569</v>
      </c>
      <c r="E544" t="s">
        <v>13</v>
      </c>
      <c r="F544" t="s">
        <v>22</v>
      </c>
      <c r="G544" t="s">
        <v>30</v>
      </c>
      <c r="H544" t="s">
        <v>16</v>
      </c>
      <c r="I544" s="3">
        <v>2617</v>
      </c>
      <c r="J544" s="3">
        <v>523.58799999999997</v>
      </c>
      <c r="K544" t="s">
        <v>37</v>
      </c>
    </row>
    <row r="545" spans="1:11" x14ac:dyDescent="0.35">
      <c r="A545" t="s">
        <v>1570</v>
      </c>
      <c r="B545" t="s">
        <v>1571</v>
      </c>
      <c r="C545" t="str">
        <f t="shared" si="13"/>
        <v>Wednesday-02-2025</v>
      </c>
      <c r="D545" t="s">
        <v>450</v>
      </c>
      <c r="E545" t="s">
        <v>49</v>
      </c>
      <c r="F545" t="s">
        <v>14</v>
      </c>
      <c r="G545" t="s">
        <v>15</v>
      </c>
      <c r="H545" t="s">
        <v>41</v>
      </c>
      <c r="I545" s="3">
        <v>4192</v>
      </c>
      <c r="J545" s="3">
        <v>419.23999999999995</v>
      </c>
      <c r="K545" t="s">
        <v>24</v>
      </c>
    </row>
    <row r="546" spans="1:11" x14ac:dyDescent="0.35">
      <c r="A546" t="s">
        <v>1572</v>
      </c>
      <c r="B546" t="s">
        <v>1573</v>
      </c>
      <c r="C546" t="str">
        <f t="shared" si="13"/>
        <v>Thursday-05-2024</v>
      </c>
      <c r="D546" t="s">
        <v>1574</v>
      </c>
      <c r="E546" t="s">
        <v>375</v>
      </c>
      <c r="F546" t="s">
        <v>14</v>
      </c>
      <c r="G546" t="s">
        <v>23</v>
      </c>
      <c r="H546" t="s">
        <v>31</v>
      </c>
      <c r="I546" s="3">
        <v>1044</v>
      </c>
      <c r="J546" s="3">
        <v>208.84800000000001</v>
      </c>
      <c r="K546" t="s">
        <v>17</v>
      </c>
    </row>
    <row r="547" spans="1:11" x14ac:dyDescent="0.35">
      <c r="A547" t="s">
        <v>1575</v>
      </c>
      <c r="B547" t="s">
        <v>1576</v>
      </c>
      <c r="C547" t="str">
        <f t="shared" si="13"/>
        <v>Wednesday-05-2023</v>
      </c>
      <c r="D547" t="s">
        <v>1577</v>
      </c>
      <c r="E547" t="s">
        <v>375</v>
      </c>
      <c r="F547" t="s">
        <v>36</v>
      </c>
      <c r="G547" t="s">
        <v>15</v>
      </c>
      <c r="H547" t="s">
        <v>16</v>
      </c>
      <c r="I547" s="3">
        <v>4318</v>
      </c>
      <c r="J547" s="3">
        <v>215.90199999999999</v>
      </c>
      <c r="K547" t="s">
        <v>17</v>
      </c>
    </row>
    <row r="548" spans="1:11" x14ac:dyDescent="0.35">
      <c r="A548" t="s">
        <v>1578</v>
      </c>
      <c r="B548" t="s">
        <v>1579</v>
      </c>
      <c r="C548" t="str">
        <f t="shared" si="13"/>
        <v>Thursday-01-2024</v>
      </c>
      <c r="D548" t="s">
        <v>82</v>
      </c>
      <c r="E548" t="s">
        <v>269</v>
      </c>
      <c r="F548" t="s">
        <v>86</v>
      </c>
      <c r="G548" t="s">
        <v>15</v>
      </c>
      <c r="H548" t="s">
        <v>16</v>
      </c>
      <c r="I548" s="3">
        <v>192</v>
      </c>
      <c r="J548" s="3">
        <v>19.263999999999999</v>
      </c>
      <c r="K548" t="s">
        <v>37</v>
      </c>
    </row>
    <row r="549" spans="1:11" x14ac:dyDescent="0.35">
      <c r="A549" t="s">
        <v>1580</v>
      </c>
      <c r="B549" t="s">
        <v>1581</v>
      </c>
      <c r="C549" t="str">
        <f t="shared" si="13"/>
        <v>04-23-2024 19:53</v>
      </c>
      <c r="D549" t="s">
        <v>1582</v>
      </c>
      <c r="E549" t="s">
        <v>108</v>
      </c>
      <c r="F549" t="s">
        <v>14</v>
      </c>
      <c r="G549" t="s">
        <v>23</v>
      </c>
      <c r="H549" t="s">
        <v>41</v>
      </c>
      <c r="I549" s="3">
        <v>4204</v>
      </c>
      <c r="J549" s="3">
        <v>0</v>
      </c>
      <c r="K549" t="s">
        <v>17</v>
      </c>
    </row>
    <row r="550" spans="1:11" x14ac:dyDescent="0.35">
      <c r="A550" t="s">
        <v>1583</v>
      </c>
      <c r="B550" t="s">
        <v>1584</v>
      </c>
      <c r="C550" t="str">
        <f t="shared" si="13"/>
        <v>Saturday-10-2024</v>
      </c>
      <c r="D550" t="s">
        <v>1585</v>
      </c>
      <c r="E550" t="s">
        <v>108</v>
      </c>
      <c r="F550" t="s">
        <v>36</v>
      </c>
      <c r="G550" t="s">
        <v>23</v>
      </c>
      <c r="H550" t="s">
        <v>31</v>
      </c>
      <c r="I550" s="3">
        <v>72</v>
      </c>
      <c r="J550" s="3">
        <v>14.568000000000001</v>
      </c>
      <c r="K550" t="s">
        <v>37</v>
      </c>
    </row>
    <row r="551" spans="1:11" x14ac:dyDescent="0.35">
      <c r="A551" t="s">
        <v>1586</v>
      </c>
      <c r="B551" t="s">
        <v>1587</v>
      </c>
      <c r="C551" t="str">
        <f t="shared" si="13"/>
        <v xml:space="preserve"> 2024-05-29</v>
      </c>
      <c r="D551" t="s">
        <v>1588</v>
      </c>
      <c r="E551" t="s">
        <v>35</v>
      </c>
      <c r="F551" t="s">
        <v>29</v>
      </c>
      <c r="G551" t="s">
        <v>23</v>
      </c>
      <c r="H551" t="s">
        <v>41</v>
      </c>
      <c r="I551" s="3">
        <v>1687</v>
      </c>
      <c r="J551" s="3">
        <v>337.52</v>
      </c>
      <c r="K551" t="s">
        <v>37</v>
      </c>
    </row>
    <row r="552" spans="1:11" x14ac:dyDescent="0.35">
      <c r="A552" t="s">
        <v>1589</v>
      </c>
      <c r="B552" t="s">
        <v>1590</v>
      </c>
      <c r="C552" t="str">
        <f t="shared" si="13"/>
        <v>Monday-06-2025</v>
      </c>
      <c r="D552" t="s">
        <v>1591</v>
      </c>
      <c r="E552" t="s">
        <v>49</v>
      </c>
      <c r="F552" t="s">
        <v>36</v>
      </c>
      <c r="G552" t="s">
        <v>23</v>
      </c>
      <c r="H552" t="s">
        <v>41</v>
      </c>
      <c r="I552" s="3">
        <v>4676</v>
      </c>
      <c r="J552" s="3">
        <v>935.37199999999996</v>
      </c>
      <c r="K552" t="s">
        <v>37</v>
      </c>
    </row>
    <row r="553" spans="1:11" x14ac:dyDescent="0.35">
      <c r="A553" t="s">
        <v>1592</v>
      </c>
      <c r="B553" t="s">
        <v>1593</v>
      </c>
      <c r="C553" t="str">
        <f t="shared" si="13"/>
        <v>Thursday-09-2023</v>
      </c>
      <c r="D553" t="s">
        <v>1594</v>
      </c>
      <c r="E553" t="s">
        <v>28</v>
      </c>
      <c r="F553" t="s">
        <v>29</v>
      </c>
      <c r="G553" t="s">
        <v>23</v>
      </c>
      <c r="H553" t="s">
        <v>31</v>
      </c>
      <c r="I553" s="3">
        <v>2418</v>
      </c>
      <c r="J553" s="3">
        <v>483.70400000000001</v>
      </c>
      <c r="K553" t="s">
        <v>24</v>
      </c>
    </row>
    <row r="554" spans="1:11" x14ac:dyDescent="0.35">
      <c r="A554" t="s">
        <v>1595</v>
      </c>
      <c r="B554" t="s">
        <v>1596</v>
      </c>
      <c r="C554" t="str">
        <f t="shared" si="13"/>
        <v>Saturday-05-2025</v>
      </c>
      <c r="D554" t="s">
        <v>1597</v>
      </c>
      <c r="E554" t="s">
        <v>13</v>
      </c>
      <c r="F554" t="s">
        <v>99</v>
      </c>
      <c r="G554" t="s">
        <v>15</v>
      </c>
      <c r="H554" t="s">
        <v>31</v>
      </c>
      <c r="I554" s="3">
        <v>2070</v>
      </c>
      <c r="J554" s="3">
        <v>207.06799999999998</v>
      </c>
      <c r="K554" t="s">
        <v>24</v>
      </c>
    </row>
    <row r="555" spans="1:11" x14ac:dyDescent="0.35">
      <c r="A555" t="s">
        <v>1598</v>
      </c>
      <c r="B555" t="s">
        <v>1599</v>
      </c>
      <c r="C555" t="str">
        <f t="shared" si="13"/>
        <v>Saturday-11-2023</v>
      </c>
      <c r="D555" t="s">
        <v>1600</v>
      </c>
      <c r="E555" t="s">
        <v>13</v>
      </c>
      <c r="F555" t="s">
        <v>86</v>
      </c>
      <c r="G555" t="s">
        <v>30</v>
      </c>
      <c r="H555" t="s">
        <v>16</v>
      </c>
      <c r="I555" s="3">
        <v>4691</v>
      </c>
      <c r="J555" s="3">
        <v>234.56799999999998</v>
      </c>
      <c r="K555" t="s">
        <v>24</v>
      </c>
    </row>
    <row r="556" spans="1:11" x14ac:dyDescent="0.35">
      <c r="A556" t="s">
        <v>1601</v>
      </c>
      <c r="B556" t="s">
        <v>1602</v>
      </c>
      <c r="C556" t="str">
        <f t="shared" si="13"/>
        <v>Thursday-05-2023</v>
      </c>
      <c r="D556" t="s">
        <v>1603</v>
      </c>
      <c r="E556" t="s">
        <v>49</v>
      </c>
      <c r="F556" t="s">
        <v>29</v>
      </c>
      <c r="G556" t="s">
        <v>15</v>
      </c>
      <c r="H556" t="s">
        <v>31</v>
      </c>
      <c r="I556" s="3">
        <v>3144</v>
      </c>
      <c r="J556" s="3">
        <v>628.93399999999997</v>
      </c>
      <c r="K556" t="s">
        <v>24</v>
      </c>
    </row>
    <row r="557" spans="1:11" x14ac:dyDescent="0.35">
      <c r="A557" t="s">
        <v>1604</v>
      </c>
      <c r="B557" t="s">
        <v>1605</v>
      </c>
      <c r="C557" t="str">
        <f t="shared" si="13"/>
        <v xml:space="preserve">08-24-2023 </v>
      </c>
      <c r="D557" t="s">
        <v>1606</v>
      </c>
      <c r="E557" t="s">
        <v>13</v>
      </c>
      <c r="F557" t="s">
        <v>14</v>
      </c>
      <c r="G557" t="s">
        <v>30</v>
      </c>
      <c r="H557" t="s">
        <v>31</v>
      </c>
      <c r="I557" s="3">
        <v>566</v>
      </c>
      <c r="J557" s="3">
        <v>56.625</v>
      </c>
      <c r="K557" t="s">
        <v>17</v>
      </c>
    </row>
    <row r="558" spans="1:11" x14ac:dyDescent="0.35">
      <c r="A558" t="s">
        <v>1607</v>
      </c>
      <c r="B558" t="s">
        <v>1608</v>
      </c>
      <c r="C558" t="str">
        <f t="shared" si="13"/>
        <v>Saturday-07-2024</v>
      </c>
      <c r="D558" t="s">
        <v>1609</v>
      </c>
      <c r="E558" t="s">
        <v>49</v>
      </c>
      <c r="F558" t="s">
        <v>86</v>
      </c>
      <c r="G558" t="s">
        <v>30</v>
      </c>
      <c r="H558" t="s">
        <v>41</v>
      </c>
      <c r="I558" s="3">
        <v>4364</v>
      </c>
      <c r="J558" s="3">
        <v>0</v>
      </c>
      <c r="K558" t="s">
        <v>24</v>
      </c>
    </row>
    <row r="559" spans="1:11" x14ac:dyDescent="0.35">
      <c r="A559" t="s">
        <v>1610</v>
      </c>
      <c r="B559" t="s">
        <v>1611</v>
      </c>
      <c r="C559" t="str">
        <f t="shared" si="13"/>
        <v>06-18-2023 06:54</v>
      </c>
      <c r="D559" t="s">
        <v>1612</v>
      </c>
      <c r="E559" t="s">
        <v>45</v>
      </c>
      <c r="F559" t="s">
        <v>86</v>
      </c>
      <c r="G559" t="s">
        <v>15</v>
      </c>
      <c r="H559" t="s">
        <v>16</v>
      </c>
      <c r="I559" s="3">
        <v>3550</v>
      </c>
      <c r="J559" s="3">
        <v>355.01100000000002</v>
      </c>
      <c r="K559" t="s">
        <v>24</v>
      </c>
    </row>
    <row r="560" spans="1:11" x14ac:dyDescent="0.35">
      <c r="A560" t="s">
        <v>1613</v>
      </c>
      <c r="B560" t="s">
        <v>1614</v>
      </c>
      <c r="C560" t="str">
        <f t="shared" si="13"/>
        <v>Wednesday-12-2024</v>
      </c>
      <c r="D560" t="s">
        <v>1615</v>
      </c>
      <c r="E560" t="s">
        <v>45</v>
      </c>
      <c r="F560" t="s">
        <v>22</v>
      </c>
      <c r="G560" t="s">
        <v>23</v>
      </c>
      <c r="H560" t="s">
        <v>41</v>
      </c>
      <c r="I560" s="3">
        <v>650</v>
      </c>
      <c r="J560" s="3">
        <v>65.061999999999998</v>
      </c>
      <c r="K560" t="s">
        <v>24</v>
      </c>
    </row>
    <row r="561" spans="1:11" x14ac:dyDescent="0.35">
      <c r="A561" t="s">
        <v>1616</v>
      </c>
      <c r="B561" t="s">
        <v>1617</v>
      </c>
      <c r="C561" t="str">
        <f t="shared" si="13"/>
        <v>Saturday-03-2024</v>
      </c>
      <c r="D561" t="s">
        <v>1618</v>
      </c>
      <c r="E561" t="s">
        <v>35</v>
      </c>
      <c r="F561" t="s">
        <v>62</v>
      </c>
      <c r="G561" t="s">
        <v>30</v>
      </c>
      <c r="H561" t="s">
        <v>41</v>
      </c>
      <c r="I561" s="3">
        <v>746</v>
      </c>
      <c r="J561" s="3">
        <v>149.358</v>
      </c>
      <c r="K561" t="s">
        <v>37</v>
      </c>
    </row>
    <row r="562" spans="1:11" x14ac:dyDescent="0.35">
      <c r="A562" t="s">
        <v>1619</v>
      </c>
      <c r="B562" t="s">
        <v>1620</v>
      </c>
      <c r="C562" t="str">
        <f t="shared" si="13"/>
        <v>Friday-04-2024</v>
      </c>
      <c r="D562" t="s">
        <v>1621</v>
      </c>
      <c r="E562" t="s">
        <v>103</v>
      </c>
      <c r="F562" t="s">
        <v>14</v>
      </c>
      <c r="G562" t="s">
        <v>15</v>
      </c>
      <c r="H562" t="s">
        <v>31</v>
      </c>
      <c r="I562" s="3">
        <v>428</v>
      </c>
      <c r="J562" s="3">
        <v>28.585333333333331</v>
      </c>
      <c r="K562" t="s">
        <v>37</v>
      </c>
    </row>
    <row r="563" spans="1:11" x14ac:dyDescent="0.35">
      <c r="A563" t="s">
        <v>1622</v>
      </c>
      <c r="B563" t="s">
        <v>1623</v>
      </c>
      <c r="C563" t="str">
        <f t="shared" si="13"/>
        <v>03-19-2025</v>
      </c>
      <c r="D563" t="s">
        <v>1624</v>
      </c>
      <c r="E563" t="s">
        <v>49</v>
      </c>
      <c r="F563" t="s">
        <v>57</v>
      </c>
      <c r="G563" t="s">
        <v>23</v>
      </c>
      <c r="H563" t="s">
        <v>16</v>
      </c>
      <c r="I563" s="3">
        <v>3270</v>
      </c>
      <c r="J563" s="3">
        <v>327.01300000000003</v>
      </c>
      <c r="K563" t="s">
        <v>17</v>
      </c>
    </row>
    <row r="564" spans="1:11" x14ac:dyDescent="0.35">
      <c r="A564" t="s">
        <v>1625</v>
      </c>
      <c r="B564" t="s">
        <v>1626</v>
      </c>
      <c r="C564" t="str">
        <f t="shared" si="13"/>
        <v>Monday-06-2025</v>
      </c>
      <c r="D564" t="s">
        <v>1627</v>
      </c>
      <c r="E564" t="s">
        <v>35</v>
      </c>
      <c r="F564" t="s">
        <v>29</v>
      </c>
      <c r="G564" t="s">
        <v>23</v>
      </c>
      <c r="H564" t="s">
        <v>41</v>
      </c>
      <c r="I564" s="3">
        <v>2324</v>
      </c>
      <c r="J564" s="3">
        <v>232.41900000000001</v>
      </c>
      <c r="K564" t="s">
        <v>17</v>
      </c>
    </row>
    <row r="565" spans="1:11" x14ac:dyDescent="0.35">
      <c r="A565" t="s">
        <v>1628</v>
      </c>
      <c r="B565" t="s">
        <v>302</v>
      </c>
      <c r="C565" t="str">
        <f t="shared" si="13"/>
        <v>Tuesday-05-2025</v>
      </c>
      <c r="D565" t="s">
        <v>1629</v>
      </c>
      <c r="E565" t="s">
        <v>49</v>
      </c>
      <c r="F565" t="s">
        <v>86</v>
      </c>
      <c r="G565" t="s">
        <v>15</v>
      </c>
      <c r="H565" t="s">
        <v>41</v>
      </c>
      <c r="I565" s="3">
        <v>4855</v>
      </c>
      <c r="J565" s="3">
        <v>971.11399999999992</v>
      </c>
      <c r="K565" t="s">
        <v>37</v>
      </c>
    </row>
    <row r="566" spans="1:11" x14ac:dyDescent="0.35">
      <c r="A566" t="s">
        <v>1630</v>
      </c>
      <c r="B566" t="s">
        <v>1631</v>
      </c>
      <c r="C566" t="str">
        <f t="shared" si="13"/>
        <v>Wednesday-03-2025</v>
      </c>
      <c r="D566" t="s">
        <v>1632</v>
      </c>
      <c r="E566" t="s">
        <v>108</v>
      </c>
      <c r="F566" t="s">
        <v>14</v>
      </c>
      <c r="G566" t="s">
        <v>30</v>
      </c>
      <c r="H566" t="s">
        <v>16</v>
      </c>
      <c r="I566" s="3">
        <v>2167</v>
      </c>
      <c r="J566" s="3">
        <v>0</v>
      </c>
      <c r="K566" t="s">
        <v>24</v>
      </c>
    </row>
    <row r="567" spans="1:11" x14ac:dyDescent="0.35">
      <c r="A567" t="s">
        <v>1633</v>
      </c>
      <c r="B567" t="s">
        <v>1634</v>
      </c>
      <c r="C567" t="str">
        <f t="shared" si="13"/>
        <v>Wednesday-03-2023</v>
      </c>
      <c r="D567" t="s">
        <v>1635</v>
      </c>
      <c r="E567" t="s">
        <v>103</v>
      </c>
      <c r="F567" t="s">
        <v>143</v>
      </c>
      <c r="G567" t="s">
        <v>15</v>
      </c>
      <c r="H567" t="s">
        <v>16</v>
      </c>
      <c r="I567" s="3">
        <v>4988</v>
      </c>
      <c r="J567" s="3">
        <v>0</v>
      </c>
      <c r="K567" t="s">
        <v>17</v>
      </c>
    </row>
    <row r="568" spans="1:11" x14ac:dyDescent="0.35">
      <c r="A568" t="s">
        <v>1636</v>
      </c>
      <c r="B568" t="s">
        <v>1637</v>
      </c>
      <c r="C568" t="str">
        <f t="shared" si="13"/>
        <v>Saturday-02-2023</v>
      </c>
      <c r="D568" t="s">
        <v>1638</v>
      </c>
      <c r="E568" t="s">
        <v>103</v>
      </c>
      <c r="F568" t="s">
        <v>14</v>
      </c>
      <c r="G568" t="s">
        <v>23</v>
      </c>
      <c r="H568" t="s">
        <v>16</v>
      </c>
      <c r="I568" s="3">
        <v>4902</v>
      </c>
      <c r="J568" s="3">
        <v>326.82666666666665</v>
      </c>
      <c r="K568" t="s">
        <v>24</v>
      </c>
    </row>
    <row r="569" spans="1:11" x14ac:dyDescent="0.35">
      <c r="A569" t="s">
        <v>1639</v>
      </c>
      <c r="B569" t="s">
        <v>1640</v>
      </c>
      <c r="C569" t="str">
        <f t="shared" si="13"/>
        <v>08-17-2023 16:34</v>
      </c>
      <c r="D569" t="s">
        <v>1641</v>
      </c>
      <c r="E569" t="s">
        <v>103</v>
      </c>
      <c r="F569" t="s">
        <v>86</v>
      </c>
      <c r="G569" t="s">
        <v>15</v>
      </c>
      <c r="H569" t="s">
        <v>16</v>
      </c>
      <c r="I569" s="3">
        <v>1308</v>
      </c>
      <c r="J569" s="3">
        <v>261.74400000000003</v>
      </c>
      <c r="K569" t="s">
        <v>24</v>
      </c>
    </row>
    <row r="570" spans="1:11" x14ac:dyDescent="0.35">
      <c r="A570" t="s">
        <v>1642</v>
      </c>
      <c r="B570" t="s">
        <v>1643</v>
      </c>
      <c r="C570" t="str">
        <f t="shared" si="13"/>
        <v>Thursday-03-2023</v>
      </c>
      <c r="D570" t="s">
        <v>1644</v>
      </c>
      <c r="E570" t="s">
        <v>49</v>
      </c>
      <c r="F570" t="s">
        <v>29</v>
      </c>
      <c r="G570" t="s">
        <v>15</v>
      </c>
      <c r="H570" t="s">
        <v>41</v>
      </c>
      <c r="I570" s="3">
        <v>4706</v>
      </c>
      <c r="J570" s="3">
        <v>941.38199999999995</v>
      </c>
      <c r="K570" t="s">
        <v>24</v>
      </c>
    </row>
    <row r="571" spans="1:11" x14ac:dyDescent="0.35">
      <c r="A571" t="s">
        <v>1645</v>
      </c>
      <c r="B571" t="s">
        <v>1646</v>
      </c>
      <c r="C571" t="str">
        <f t="shared" si="13"/>
        <v>01-18-2024 10:21</v>
      </c>
      <c r="D571" t="s">
        <v>1647</v>
      </c>
      <c r="E571" t="s">
        <v>21</v>
      </c>
      <c r="F571" t="s">
        <v>29</v>
      </c>
      <c r="G571" t="s">
        <v>30</v>
      </c>
      <c r="H571" t="s">
        <v>31</v>
      </c>
      <c r="I571" s="3">
        <v>312</v>
      </c>
      <c r="J571" s="3">
        <v>20.831333333333337</v>
      </c>
      <c r="K571" t="s">
        <v>37</v>
      </c>
    </row>
    <row r="572" spans="1:11" x14ac:dyDescent="0.35">
      <c r="A572" t="s">
        <v>1648</v>
      </c>
      <c r="B572" t="s">
        <v>1649</v>
      </c>
      <c r="C572" t="str">
        <f t="shared" si="13"/>
        <v>Saturday-09-2024</v>
      </c>
      <c r="D572" t="s">
        <v>1650</v>
      </c>
      <c r="E572" t="s">
        <v>103</v>
      </c>
      <c r="F572" t="s">
        <v>22</v>
      </c>
      <c r="G572" t="s">
        <v>23</v>
      </c>
      <c r="H572" t="s">
        <v>31</v>
      </c>
      <c r="I572" s="3">
        <v>2698</v>
      </c>
      <c r="J572" s="3">
        <v>269.80799999999999</v>
      </c>
      <c r="K572" t="s">
        <v>17</v>
      </c>
    </row>
    <row r="573" spans="1:11" x14ac:dyDescent="0.35">
      <c r="A573" t="s">
        <v>1651</v>
      </c>
      <c r="B573" t="s">
        <v>1652</v>
      </c>
      <c r="C573" t="str">
        <f t="shared" si="13"/>
        <v>Wednesday-03-2024</v>
      </c>
      <c r="D573" t="s">
        <v>1653</v>
      </c>
      <c r="E573" t="s">
        <v>61</v>
      </c>
      <c r="F573" t="s">
        <v>66</v>
      </c>
      <c r="G573" t="s">
        <v>30</v>
      </c>
      <c r="H573" t="s">
        <v>16</v>
      </c>
      <c r="I573" s="3">
        <v>4368</v>
      </c>
      <c r="J573" s="3">
        <v>218.44450000000001</v>
      </c>
      <c r="K573" t="s">
        <v>24</v>
      </c>
    </row>
    <row r="574" spans="1:11" x14ac:dyDescent="0.35">
      <c r="A574" t="s">
        <v>1654</v>
      </c>
      <c r="B574" t="s">
        <v>1655</v>
      </c>
      <c r="C574" t="str">
        <f t="shared" si="13"/>
        <v>08-23-2024</v>
      </c>
      <c r="D574" t="s">
        <v>1656</v>
      </c>
      <c r="E574" t="s">
        <v>45</v>
      </c>
      <c r="F574" t="s">
        <v>57</v>
      </c>
      <c r="G574" t="s">
        <v>15</v>
      </c>
      <c r="H574" t="s">
        <v>41</v>
      </c>
      <c r="I574" s="3">
        <v>3022</v>
      </c>
      <c r="J574" s="3">
        <v>604.49599999999998</v>
      </c>
      <c r="K574" t="s">
        <v>17</v>
      </c>
    </row>
    <row r="575" spans="1:11" x14ac:dyDescent="0.35">
      <c r="A575" t="s">
        <v>1657</v>
      </c>
      <c r="B575" t="s">
        <v>1658</v>
      </c>
      <c r="C575" t="str">
        <f t="shared" si="13"/>
        <v>Thursday-09-2023</v>
      </c>
      <c r="D575" t="s">
        <v>1659</v>
      </c>
      <c r="E575" t="s">
        <v>49</v>
      </c>
      <c r="F575" t="s">
        <v>66</v>
      </c>
      <c r="G575" t="s">
        <v>23</v>
      </c>
      <c r="H575" t="s">
        <v>41</v>
      </c>
      <c r="I575" s="3">
        <v>1454</v>
      </c>
      <c r="J575" s="3">
        <v>145.452</v>
      </c>
      <c r="K575" t="s">
        <v>37</v>
      </c>
    </row>
    <row r="576" spans="1:11" x14ac:dyDescent="0.35">
      <c r="A576" t="s">
        <v>1660</v>
      </c>
      <c r="B576" t="s">
        <v>231</v>
      </c>
      <c r="C576" t="str">
        <f t="shared" si="13"/>
        <v>Sunday-05-2024</v>
      </c>
      <c r="D576" t="s">
        <v>1661</v>
      </c>
      <c r="E576" t="s">
        <v>45</v>
      </c>
      <c r="F576" t="s">
        <v>143</v>
      </c>
      <c r="G576" t="s">
        <v>30</v>
      </c>
      <c r="H576" t="s">
        <v>16</v>
      </c>
      <c r="I576" s="3">
        <v>2574</v>
      </c>
      <c r="J576" s="3">
        <v>257.43700000000001</v>
      </c>
      <c r="K576" t="s">
        <v>37</v>
      </c>
    </row>
    <row r="577" spans="1:11" x14ac:dyDescent="0.35">
      <c r="A577" t="s">
        <v>1662</v>
      </c>
      <c r="B577" t="s">
        <v>1663</v>
      </c>
      <c r="C577" t="str">
        <f t="shared" si="13"/>
        <v>Monday-12-2023</v>
      </c>
      <c r="D577" t="s">
        <v>1664</v>
      </c>
      <c r="E577" t="s">
        <v>45</v>
      </c>
      <c r="F577" t="s">
        <v>22</v>
      </c>
      <c r="G577" t="s">
        <v>15</v>
      </c>
      <c r="H577" t="s">
        <v>31</v>
      </c>
      <c r="I577" s="3">
        <v>715</v>
      </c>
      <c r="J577" s="3">
        <v>0</v>
      </c>
      <c r="K577" t="s">
        <v>24</v>
      </c>
    </row>
    <row r="578" spans="1:11" x14ac:dyDescent="0.35">
      <c r="A578" t="s">
        <v>1665</v>
      </c>
      <c r="B578" t="s">
        <v>1666</v>
      </c>
      <c r="C578" t="str">
        <f t="shared" si="13"/>
        <v>Monday-04-2024</v>
      </c>
      <c r="D578" t="s">
        <v>1667</v>
      </c>
      <c r="E578" t="s">
        <v>13</v>
      </c>
      <c r="F578" t="s">
        <v>14</v>
      </c>
      <c r="G578" t="s">
        <v>30</v>
      </c>
      <c r="H578" t="s">
        <v>41</v>
      </c>
      <c r="I578" s="3">
        <v>2792</v>
      </c>
      <c r="J578" s="3">
        <v>558.56999999999994</v>
      </c>
      <c r="K578" t="s">
        <v>37</v>
      </c>
    </row>
    <row r="579" spans="1:11" x14ac:dyDescent="0.35">
      <c r="A579" t="s">
        <v>1668</v>
      </c>
      <c r="B579" t="s">
        <v>1669</v>
      </c>
      <c r="C579" t="str">
        <f t="shared" ref="C579:C642" si="14">TEXT(B579,"dddd-mm-yyyy")</f>
        <v>Friday-08-2023</v>
      </c>
      <c r="D579" t="s">
        <v>1670</v>
      </c>
      <c r="E579" t="s">
        <v>49</v>
      </c>
      <c r="F579" t="s">
        <v>36</v>
      </c>
      <c r="G579" t="s">
        <v>15</v>
      </c>
      <c r="H579" t="s">
        <v>41</v>
      </c>
      <c r="I579" s="3">
        <v>798</v>
      </c>
      <c r="J579" s="3">
        <v>0</v>
      </c>
      <c r="K579" t="s">
        <v>37</v>
      </c>
    </row>
    <row r="580" spans="1:11" x14ac:dyDescent="0.35">
      <c r="A580" t="s">
        <v>1671</v>
      </c>
      <c r="B580" t="s">
        <v>1672</v>
      </c>
      <c r="C580" t="str">
        <f t="shared" si="14"/>
        <v>Tuesday-10-2023</v>
      </c>
      <c r="D580" t="s">
        <v>1673</v>
      </c>
      <c r="E580" t="s">
        <v>45</v>
      </c>
      <c r="F580" t="s">
        <v>29</v>
      </c>
      <c r="G580" t="s">
        <v>23</v>
      </c>
      <c r="H580" t="s">
        <v>31</v>
      </c>
      <c r="I580" s="3">
        <v>493</v>
      </c>
      <c r="J580" s="3">
        <v>49.311</v>
      </c>
      <c r="K580" t="s">
        <v>37</v>
      </c>
    </row>
    <row r="581" spans="1:11" x14ac:dyDescent="0.35">
      <c r="A581" t="s">
        <v>1674</v>
      </c>
      <c r="B581" t="s">
        <v>1675</v>
      </c>
      <c r="C581" t="str">
        <f t="shared" si="14"/>
        <v>Tuesday-12-2024</v>
      </c>
      <c r="E581" t="s">
        <v>108</v>
      </c>
      <c r="F581" t="s">
        <v>14</v>
      </c>
      <c r="G581" t="s">
        <v>23</v>
      </c>
      <c r="H581" t="s">
        <v>31</v>
      </c>
      <c r="I581" s="3">
        <v>3516</v>
      </c>
      <c r="J581" s="3">
        <v>234.46333333333331</v>
      </c>
      <c r="K581" t="s">
        <v>24</v>
      </c>
    </row>
    <row r="582" spans="1:11" x14ac:dyDescent="0.35">
      <c r="A582" t="s">
        <v>1676</v>
      </c>
      <c r="C582" t="str">
        <f t="shared" si="14"/>
        <v>Saturday-01-1900</v>
      </c>
      <c r="D582" t="s">
        <v>1677</v>
      </c>
      <c r="E582" t="s">
        <v>49</v>
      </c>
      <c r="F582" t="s">
        <v>14</v>
      </c>
      <c r="G582" t="s">
        <v>30</v>
      </c>
      <c r="H582" t="s">
        <v>41</v>
      </c>
      <c r="I582" s="3">
        <v>158</v>
      </c>
      <c r="J582" s="3">
        <v>15.812999999999999</v>
      </c>
      <c r="K582" t="s">
        <v>37</v>
      </c>
    </row>
    <row r="583" spans="1:11" x14ac:dyDescent="0.35">
      <c r="A583" t="s">
        <v>1678</v>
      </c>
      <c r="B583" t="s">
        <v>1327</v>
      </c>
      <c r="C583" t="str">
        <f t="shared" si="14"/>
        <v>Thursday-07-2024</v>
      </c>
      <c r="D583" t="s">
        <v>1679</v>
      </c>
      <c r="E583" t="s">
        <v>269</v>
      </c>
      <c r="F583" t="s">
        <v>22</v>
      </c>
      <c r="G583" t="s">
        <v>23</v>
      </c>
      <c r="H583" t="s">
        <v>31</v>
      </c>
      <c r="I583" s="3">
        <v>3785</v>
      </c>
      <c r="J583" s="3">
        <v>0</v>
      </c>
      <c r="K583" t="s">
        <v>24</v>
      </c>
    </row>
    <row r="584" spans="1:11" x14ac:dyDescent="0.35">
      <c r="A584" t="s">
        <v>1680</v>
      </c>
      <c r="B584" t="s">
        <v>1681</v>
      </c>
      <c r="C584" t="str">
        <f t="shared" si="14"/>
        <v>Thursday-07-2023</v>
      </c>
      <c r="D584" t="s">
        <v>1682</v>
      </c>
      <c r="E584" t="s">
        <v>21</v>
      </c>
      <c r="F584" t="s">
        <v>22</v>
      </c>
      <c r="G584" t="s">
        <v>30</v>
      </c>
      <c r="H584" t="s">
        <v>41</v>
      </c>
      <c r="I584" s="3">
        <v>2540</v>
      </c>
      <c r="J584" s="3">
        <v>0</v>
      </c>
      <c r="K584" t="s">
        <v>37</v>
      </c>
    </row>
    <row r="585" spans="1:11" x14ac:dyDescent="0.35">
      <c r="A585" t="s">
        <v>1683</v>
      </c>
      <c r="B585" t="s">
        <v>1684</v>
      </c>
      <c r="C585" t="str">
        <f t="shared" si="14"/>
        <v>Monday-03-2025</v>
      </c>
      <c r="E585" t="s">
        <v>103</v>
      </c>
      <c r="F585" t="s">
        <v>29</v>
      </c>
      <c r="G585" t="s">
        <v>30</v>
      </c>
      <c r="H585" t="s">
        <v>41</v>
      </c>
      <c r="I585" s="3">
        <v>4810</v>
      </c>
      <c r="J585" s="3">
        <v>962.05200000000002</v>
      </c>
      <c r="K585" t="s">
        <v>24</v>
      </c>
    </row>
    <row r="586" spans="1:11" x14ac:dyDescent="0.35">
      <c r="A586" t="s">
        <v>1685</v>
      </c>
      <c r="B586" t="s">
        <v>1686</v>
      </c>
      <c r="C586" t="str">
        <f t="shared" si="14"/>
        <v>Tuesday-12-2023</v>
      </c>
      <c r="D586" t="s">
        <v>1687</v>
      </c>
      <c r="E586" t="s">
        <v>253</v>
      </c>
      <c r="F586" t="s">
        <v>36</v>
      </c>
      <c r="G586" t="s">
        <v>30</v>
      </c>
      <c r="H586" t="s">
        <v>41</v>
      </c>
      <c r="I586" s="3">
        <v>1846</v>
      </c>
      <c r="J586" s="3">
        <v>369.26400000000001</v>
      </c>
      <c r="K586" t="s">
        <v>17</v>
      </c>
    </row>
    <row r="587" spans="1:11" x14ac:dyDescent="0.35">
      <c r="A587" t="s">
        <v>1688</v>
      </c>
      <c r="B587" t="s">
        <v>323</v>
      </c>
      <c r="C587" t="str">
        <f t="shared" si="14"/>
        <v>Thursday-09-2024</v>
      </c>
      <c r="D587" t="s">
        <v>1689</v>
      </c>
      <c r="E587" t="s">
        <v>49</v>
      </c>
      <c r="F587" t="s">
        <v>86</v>
      </c>
      <c r="G587" t="s">
        <v>15</v>
      </c>
      <c r="H587" t="s">
        <v>16</v>
      </c>
      <c r="I587" s="3">
        <v>2679</v>
      </c>
      <c r="J587" s="3">
        <v>133.97149999999999</v>
      </c>
      <c r="K587" t="s">
        <v>37</v>
      </c>
    </row>
    <row r="588" spans="1:11" x14ac:dyDescent="0.35">
      <c r="A588" t="s">
        <v>1690</v>
      </c>
      <c r="B588" t="s">
        <v>1691</v>
      </c>
      <c r="C588" t="str">
        <f t="shared" si="14"/>
        <v>02-24-2023</v>
      </c>
      <c r="D588" t="s">
        <v>1692</v>
      </c>
      <c r="E588" t="s">
        <v>45</v>
      </c>
      <c r="F588" t="s">
        <v>86</v>
      </c>
      <c r="G588" t="s">
        <v>30</v>
      </c>
      <c r="H588" t="s">
        <v>16</v>
      </c>
      <c r="I588" s="3">
        <v>3356</v>
      </c>
      <c r="J588" s="3">
        <v>671.25200000000007</v>
      </c>
      <c r="K588" t="s">
        <v>17</v>
      </c>
    </row>
    <row r="589" spans="1:11" x14ac:dyDescent="0.35">
      <c r="A589" t="s">
        <v>1693</v>
      </c>
      <c r="B589" t="s">
        <v>1694</v>
      </c>
      <c r="C589" t="str">
        <f t="shared" si="14"/>
        <v>Tuesday-05-2024</v>
      </c>
      <c r="D589" t="s">
        <v>929</v>
      </c>
      <c r="E589" t="s">
        <v>108</v>
      </c>
      <c r="F589" t="s">
        <v>14</v>
      </c>
      <c r="G589" t="s">
        <v>30</v>
      </c>
      <c r="H589" t="s">
        <v>31</v>
      </c>
      <c r="I589" s="3">
        <v>589</v>
      </c>
      <c r="J589" s="3">
        <v>58.989999999999995</v>
      </c>
      <c r="K589" t="s">
        <v>37</v>
      </c>
    </row>
    <row r="590" spans="1:11" x14ac:dyDescent="0.35">
      <c r="A590" t="s">
        <v>1695</v>
      </c>
      <c r="B590" t="s">
        <v>1696</v>
      </c>
      <c r="C590" t="str">
        <f t="shared" si="14"/>
        <v>09-23-2024</v>
      </c>
      <c r="D590" t="s">
        <v>1697</v>
      </c>
      <c r="E590" t="s">
        <v>108</v>
      </c>
      <c r="F590" t="s">
        <v>36</v>
      </c>
      <c r="G590" t="s">
        <v>23</v>
      </c>
      <c r="H590" t="s">
        <v>41</v>
      </c>
      <c r="I590" s="3">
        <v>4092</v>
      </c>
      <c r="J590" s="3">
        <v>409.27300000000002</v>
      </c>
      <c r="K590" t="s">
        <v>24</v>
      </c>
    </row>
    <row r="591" spans="1:11" x14ac:dyDescent="0.35">
      <c r="A591" t="s">
        <v>1698</v>
      </c>
      <c r="B591" t="s">
        <v>1699</v>
      </c>
      <c r="C591" t="str">
        <f t="shared" si="14"/>
        <v>Tuesday-05-2024</v>
      </c>
      <c r="D591" t="s">
        <v>1700</v>
      </c>
      <c r="E591" t="s">
        <v>112</v>
      </c>
      <c r="F591" t="s">
        <v>29</v>
      </c>
      <c r="G591" t="s">
        <v>15</v>
      </c>
      <c r="H591" t="s">
        <v>31</v>
      </c>
      <c r="I591" s="3">
        <v>4103</v>
      </c>
      <c r="J591" s="3">
        <v>205.18299999999999</v>
      </c>
      <c r="K591" t="s">
        <v>17</v>
      </c>
    </row>
    <row r="592" spans="1:11" x14ac:dyDescent="0.35">
      <c r="A592" t="s">
        <v>1701</v>
      </c>
      <c r="B592" t="s">
        <v>1702</v>
      </c>
      <c r="C592" t="str">
        <f t="shared" si="14"/>
        <v>Sunday-11-2023</v>
      </c>
      <c r="D592" t="s">
        <v>1703</v>
      </c>
      <c r="E592" t="s">
        <v>45</v>
      </c>
      <c r="F592" t="s">
        <v>143</v>
      </c>
      <c r="G592" t="s">
        <v>30</v>
      </c>
      <c r="H592" t="s">
        <v>16</v>
      </c>
      <c r="I592" s="3">
        <v>2365</v>
      </c>
      <c r="J592" s="3">
        <v>0</v>
      </c>
      <c r="K592" t="s">
        <v>24</v>
      </c>
    </row>
    <row r="593" spans="1:11" x14ac:dyDescent="0.35">
      <c r="A593" t="s">
        <v>1704</v>
      </c>
      <c r="B593" t="s">
        <v>1705</v>
      </c>
      <c r="C593" t="str">
        <f t="shared" si="14"/>
        <v>Friday-05-2023</v>
      </c>
      <c r="D593" t="s">
        <v>1706</v>
      </c>
      <c r="E593" t="s">
        <v>108</v>
      </c>
      <c r="F593" t="s">
        <v>14</v>
      </c>
      <c r="G593" t="s">
        <v>30</v>
      </c>
      <c r="H593" t="s">
        <v>41</v>
      </c>
      <c r="I593" s="3">
        <v>54</v>
      </c>
      <c r="J593" s="3">
        <v>3.6339999999999999</v>
      </c>
      <c r="K593" t="s">
        <v>24</v>
      </c>
    </row>
    <row r="594" spans="1:11" x14ac:dyDescent="0.35">
      <c r="A594" t="s">
        <v>1707</v>
      </c>
      <c r="B594" t="s">
        <v>1708</v>
      </c>
      <c r="C594" t="str">
        <f t="shared" si="14"/>
        <v>Thursday-12-2023</v>
      </c>
      <c r="D594" t="s">
        <v>1709</v>
      </c>
      <c r="E594" t="s">
        <v>253</v>
      </c>
      <c r="F594" t="s">
        <v>14</v>
      </c>
      <c r="G594" t="s">
        <v>23</v>
      </c>
      <c r="H594" t="s">
        <v>31</v>
      </c>
      <c r="I594" s="3">
        <v>2118</v>
      </c>
      <c r="J594" s="3">
        <v>211.89000000000001</v>
      </c>
      <c r="K594" t="s">
        <v>24</v>
      </c>
    </row>
    <row r="595" spans="1:11" x14ac:dyDescent="0.35">
      <c r="A595" t="s">
        <v>1710</v>
      </c>
      <c r="B595" t="s">
        <v>1711</v>
      </c>
      <c r="C595" t="str">
        <f t="shared" si="14"/>
        <v xml:space="preserve"> 20/08/2024 15:22</v>
      </c>
      <c r="E595" t="s">
        <v>28</v>
      </c>
      <c r="F595" t="s">
        <v>14</v>
      </c>
      <c r="G595" t="s">
        <v>30</v>
      </c>
      <c r="H595" t="s">
        <v>16</v>
      </c>
      <c r="I595" s="3">
        <v>254</v>
      </c>
      <c r="J595" s="3">
        <v>25.484999999999999</v>
      </c>
      <c r="K595" t="s">
        <v>24</v>
      </c>
    </row>
    <row r="596" spans="1:11" x14ac:dyDescent="0.35">
      <c r="A596" t="s">
        <v>1712</v>
      </c>
      <c r="B596" t="s">
        <v>1713</v>
      </c>
      <c r="C596" t="str">
        <f t="shared" si="14"/>
        <v>Friday-07-2023</v>
      </c>
      <c r="D596" t="s">
        <v>1714</v>
      </c>
      <c r="E596" t="s">
        <v>28</v>
      </c>
      <c r="F596" t="s">
        <v>22</v>
      </c>
      <c r="G596" t="s">
        <v>30</v>
      </c>
      <c r="H596" t="s">
        <v>31</v>
      </c>
      <c r="I596" s="3">
        <v>3302</v>
      </c>
      <c r="J596" s="3">
        <v>330.20100000000002</v>
      </c>
      <c r="K596" t="s">
        <v>17</v>
      </c>
    </row>
    <row r="597" spans="1:11" x14ac:dyDescent="0.35">
      <c r="A597" t="s">
        <v>1715</v>
      </c>
      <c r="B597" t="s">
        <v>1716</v>
      </c>
      <c r="C597" t="str">
        <f t="shared" si="14"/>
        <v>Saturday-02-2024</v>
      </c>
      <c r="E597" t="s">
        <v>375</v>
      </c>
      <c r="F597" t="s">
        <v>14</v>
      </c>
      <c r="G597" t="s">
        <v>23</v>
      </c>
      <c r="H597" t="s">
        <v>31</v>
      </c>
      <c r="I597" s="3">
        <v>253</v>
      </c>
      <c r="J597" s="3">
        <v>0</v>
      </c>
      <c r="K597" t="s">
        <v>24</v>
      </c>
    </row>
    <row r="598" spans="1:11" x14ac:dyDescent="0.35">
      <c r="A598" t="s">
        <v>1717</v>
      </c>
      <c r="B598" t="s">
        <v>1718</v>
      </c>
      <c r="C598" t="str">
        <f t="shared" si="14"/>
        <v xml:space="preserve">11-24-2024 </v>
      </c>
      <c r="D598" t="s">
        <v>823</v>
      </c>
      <c r="E598" t="s">
        <v>61</v>
      </c>
      <c r="F598" t="s">
        <v>86</v>
      </c>
      <c r="G598" t="s">
        <v>23</v>
      </c>
      <c r="H598" t="s">
        <v>16</v>
      </c>
      <c r="I598" s="3">
        <v>1124</v>
      </c>
      <c r="J598" s="3">
        <v>112.482</v>
      </c>
      <c r="K598" t="s">
        <v>24</v>
      </c>
    </row>
    <row r="599" spans="1:11" x14ac:dyDescent="0.35">
      <c r="A599" t="s">
        <v>1719</v>
      </c>
      <c r="B599" t="s">
        <v>1720</v>
      </c>
      <c r="C599" t="str">
        <f t="shared" si="14"/>
        <v>Thursday-05-2023</v>
      </c>
      <c r="D599" t="s">
        <v>1721</v>
      </c>
      <c r="E599" t="s">
        <v>35</v>
      </c>
      <c r="F599" t="s">
        <v>29</v>
      </c>
      <c r="G599" t="s">
        <v>30</v>
      </c>
      <c r="H599" t="s">
        <v>31</v>
      </c>
      <c r="I599" s="3">
        <v>1462</v>
      </c>
      <c r="J599" s="3">
        <v>73.112499999999997</v>
      </c>
      <c r="K599" t="s">
        <v>24</v>
      </c>
    </row>
    <row r="600" spans="1:11" x14ac:dyDescent="0.35">
      <c r="A600" t="s">
        <v>1722</v>
      </c>
      <c r="B600" t="s">
        <v>492</v>
      </c>
      <c r="C600" t="str">
        <f t="shared" si="14"/>
        <v>Thursday-10-2024</v>
      </c>
      <c r="D600" t="s">
        <v>1723</v>
      </c>
      <c r="E600" t="s">
        <v>108</v>
      </c>
      <c r="F600" t="s">
        <v>86</v>
      </c>
      <c r="G600" t="s">
        <v>23</v>
      </c>
      <c r="H600" t="s">
        <v>16</v>
      </c>
      <c r="I600" s="3">
        <v>1262</v>
      </c>
      <c r="J600" s="3">
        <v>84.143333333333345</v>
      </c>
      <c r="K600" t="s">
        <v>17</v>
      </c>
    </row>
    <row r="601" spans="1:11" x14ac:dyDescent="0.35">
      <c r="A601" t="s">
        <v>1724</v>
      </c>
      <c r="B601" t="s">
        <v>1725</v>
      </c>
      <c r="C601" t="str">
        <f t="shared" si="14"/>
        <v>Saturday-08-2023</v>
      </c>
      <c r="D601" t="s">
        <v>1726</v>
      </c>
      <c r="E601" t="s">
        <v>45</v>
      </c>
      <c r="F601" t="s">
        <v>22</v>
      </c>
      <c r="G601" t="s">
        <v>30</v>
      </c>
      <c r="H601" t="s">
        <v>41</v>
      </c>
      <c r="I601" s="3">
        <v>4985</v>
      </c>
      <c r="J601" s="3">
        <v>498.59700000000004</v>
      </c>
      <c r="K601" t="s">
        <v>17</v>
      </c>
    </row>
    <row r="602" spans="1:11" x14ac:dyDescent="0.35">
      <c r="A602" t="s">
        <v>1727</v>
      </c>
      <c r="B602" t="s">
        <v>1728</v>
      </c>
      <c r="C602" t="str">
        <f t="shared" si="14"/>
        <v>Saturday-07-2024</v>
      </c>
      <c r="E602" t="s">
        <v>202</v>
      </c>
      <c r="F602" t="s">
        <v>36</v>
      </c>
      <c r="G602" t="s">
        <v>23</v>
      </c>
      <c r="H602" t="s">
        <v>31</v>
      </c>
      <c r="I602" s="3">
        <v>2680</v>
      </c>
      <c r="J602" s="3">
        <v>536.01800000000003</v>
      </c>
      <c r="K602" t="s">
        <v>17</v>
      </c>
    </row>
    <row r="603" spans="1:11" x14ac:dyDescent="0.35">
      <c r="A603" t="s">
        <v>1729</v>
      </c>
      <c r="B603" t="s">
        <v>1730</v>
      </c>
      <c r="C603" t="str">
        <f t="shared" si="14"/>
        <v xml:space="preserve"> 2024-11-19</v>
      </c>
      <c r="D603" t="s">
        <v>1731</v>
      </c>
      <c r="E603" t="s">
        <v>13</v>
      </c>
      <c r="F603" t="s">
        <v>86</v>
      </c>
      <c r="G603" t="s">
        <v>30</v>
      </c>
      <c r="H603" t="s">
        <v>41</v>
      </c>
      <c r="I603" s="3">
        <v>1884</v>
      </c>
      <c r="J603" s="3">
        <v>0</v>
      </c>
      <c r="K603" t="s">
        <v>24</v>
      </c>
    </row>
    <row r="604" spans="1:11" x14ac:dyDescent="0.35">
      <c r="A604" t="s">
        <v>1732</v>
      </c>
      <c r="B604" t="s">
        <v>1733</v>
      </c>
      <c r="C604" t="str">
        <f t="shared" si="14"/>
        <v>01-18-2023</v>
      </c>
      <c r="D604" t="s">
        <v>1734</v>
      </c>
      <c r="E604" t="s">
        <v>28</v>
      </c>
      <c r="F604" t="s">
        <v>36</v>
      </c>
      <c r="G604" t="s">
        <v>23</v>
      </c>
      <c r="H604" t="s">
        <v>31</v>
      </c>
      <c r="I604" s="3">
        <v>4389</v>
      </c>
      <c r="J604" s="3">
        <v>219.45999999999998</v>
      </c>
      <c r="K604" t="s">
        <v>24</v>
      </c>
    </row>
    <row r="605" spans="1:11" x14ac:dyDescent="0.35">
      <c r="A605" t="s">
        <v>1735</v>
      </c>
      <c r="B605" t="s">
        <v>1736</v>
      </c>
      <c r="C605" t="str">
        <f t="shared" si="14"/>
        <v xml:space="preserve"> 11/02/2023</v>
      </c>
      <c r="E605" t="s">
        <v>28</v>
      </c>
      <c r="F605" t="s">
        <v>29</v>
      </c>
      <c r="G605" t="s">
        <v>30</v>
      </c>
      <c r="H605" t="s">
        <v>31</v>
      </c>
      <c r="I605" s="3">
        <v>4552</v>
      </c>
      <c r="J605" s="3">
        <v>910.42600000000004</v>
      </c>
      <c r="K605" t="s">
        <v>24</v>
      </c>
    </row>
    <row r="606" spans="1:11" x14ac:dyDescent="0.35">
      <c r="A606" t="s">
        <v>1737</v>
      </c>
      <c r="B606" t="s">
        <v>1738</v>
      </c>
      <c r="C606" t="str">
        <f t="shared" si="14"/>
        <v>Thursday-01-2024</v>
      </c>
      <c r="D606" t="s">
        <v>1739</v>
      </c>
      <c r="E606" t="s">
        <v>45</v>
      </c>
      <c r="F606" t="s">
        <v>29</v>
      </c>
      <c r="G606" t="s">
        <v>30</v>
      </c>
      <c r="H606" t="s">
        <v>31</v>
      </c>
      <c r="I606" s="3">
        <v>1777</v>
      </c>
      <c r="J606" s="3">
        <v>0</v>
      </c>
      <c r="K606" t="s">
        <v>17</v>
      </c>
    </row>
    <row r="607" spans="1:11" x14ac:dyDescent="0.35">
      <c r="A607" t="s">
        <v>1740</v>
      </c>
      <c r="B607" t="s">
        <v>1741</v>
      </c>
      <c r="C607" t="str">
        <f t="shared" si="14"/>
        <v>Monday-02-2025</v>
      </c>
      <c r="D607" t="s">
        <v>1742</v>
      </c>
      <c r="E607" t="s">
        <v>108</v>
      </c>
      <c r="F607" t="s">
        <v>36</v>
      </c>
      <c r="G607" t="s">
        <v>23</v>
      </c>
      <c r="H607" t="s">
        <v>31</v>
      </c>
      <c r="I607" s="3">
        <v>4034</v>
      </c>
      <c r="J607" s="3">
        <v>268.97733333333332</v>
      </c>
      <c r="K607" t="s">
        <v>24</v>
      </c>
    </row>
    <row r="608" spans="1:11" x14ac:dyDescent="0.35">
      <c r="A608" t="s">
        <v>1743</v>
      </c>
      <c r="B608" t="s">
        <v>1744</v>
      </c>
      <c r="C608" t="str">
        <f t="shared" si="14"/>
        <v>Tuesday-05-2025</v>
      </c>
      <c r="D608" t="s">
        <v>1745</v>
      </c>
      <c r="E608" t="s">
        <v>79</v>
      </c>
      <c r="F608" t="s">
        <v>29</v>
      </c>
      <c r="G608" t="s">
        <v>30</v>
      </c>
      <c r="H608" t="s">
        <v>41</v>
      </c>
      <c r="I608" s="3">
        <v>4609</v>
      </c>
      <c r="J608" s="3">
        <v>921.88400000000001</v>
      </c>
      <c r="K608" t="s">
        <v>24</v>
      </c>
    </row>
    <row r="609" spans="1:11" x14ac:dyDescent="0.35">
      <c r="A609" t="s">
        <v>1746</v>
      </c>
      <c r="B609" t="s">
        <v>1747</v>
      </c>
      <c r="C609" t="str">
        <f t="shared" si="14"/>
        <v>Wednesday-05-2025</v>
      </c>
      <c r="D609" t="s">
        <v>1748</v>
      </c>
      <c r="E609" t="s">
        <v>45</v>
      </c>
      <c r="F609" t="s">
        <v>62</v>
      </c>
      <c r="G609" t="s">
        <v>15</v>
      </c>
      <c r="H609" t="s">
        <v>41</v>
      </c>
      <c r="I609" s="3">
        <v>3139</v>
      </c>
      <c r="J609" s="3">
        <v>627.94399999999996</v>
      </c>
      <c r="K609" t="s">
        <v>24</v>
      </c>
    </row>
    <row r="610" spans="1:11" x14ac:dyDescent="0.35">
      <c r="A610" t="s">
        <v>1749</v>
      </c>
      <c r="B610" t="s">
        <v>228</v>
      </c>
      <c r="C610" t="str">
        <f t="shared" si="14"/>
        <v>Sunday-12-2024</v>
      </c>
      <c r="D610" t="s">
        <v>1614</v>
      </c>
      <c r="E610" t="s">
        <v>13</v>
      </c>
      <c r="F610" t="s">
        <v>22</v>
      </c>
      <c r="G610" t="s">
        <v>30</v>
      </c>
      <c r="H610" t="s">
        <v>16</v>
      </c>
      <c r="I610" s="3">
        <v>3899</v>
      </c>
      <c r="J610" s="3">
        <v>0</v>
      </c>
      <c r="K610" t="s">
        <v>24</v>
      </c>
    </row>
    <row r="611" spans="1:11" x14ac:dyDescent="0.35">
      <c r="A611" t="s">
        <v>1750</v>
      </c>
      <c r="C611" t="str">
        <f t="shared" si="14"/>
        <v>Saturday-01-1900</v>
      </c>
      <c r="D611" t="s">
        <v>1751</v>
      </c>
      <c r="E611" t="s">
        <v>35</v>
      </c>
      <c r="F611" t="s">
        <v>99</v>
      </c>
      <c r="G611" t="s">
        <v>15</v>
      </c>
      <c r="H611" t="s">
        <v>16</v>
      </c>
      <c r="I611" s="3">
        <v>3883</v>
      </c>
      <c r="J611" s="3">
        <v>0</v>
      </c>
      <c r="K611" t="s">
        <v>24</v>
      </c>
    </row>
    <row r="612" spans="1:11" x14ac:dyDescent="0.35">
      <c r="A612" t="s">
        <v>1752</v>
      </c>
      <c r="C612" t="str">
        <f t="shared" si="14"/>
        <v>Saturday-01-1900</v>
      </c>
      <c r="D612" t="s">
        <v>1753</v>
      </c>
      <c r="E612" t="s">
        <v>108</v>
      </c>
      <c r="F612" t="s">
        <v>66</v>
      </c>
      <c r="G612" t="s">
        <v>30</v>
      </c>
      <c r="H612" t="s">
        <v>16</v>
      </c>
      <c r="I612" s="3">
        <v>4856</v>
      </c>
      <c r="J612" s="3">
        <v>485.65299999999996</v>
      </c>
      <c r="K612" t="s">
        <v>24</v>
      </c>
    </row>
    <row r="613" spans="1:11" x14ac:dyDescent="0.35">
      <c r="A613" t="s">
        <v>1754</v>
      </c>
      <c r="B613" t="s">
        <v>1755</v>
      </c>
      <c r="C613" t="str">
        <f t="shared" si="14"/>
        <v>09-20-2023</v>
      </c>
      <c r="D613" t="s">
        <v>1756</v>
      </c>
      <c r="E613" t="s">
        <v>35</v>
      </c>
      <c r="F613" t="s">
        <v>62</v>
      </c>
      <c r="G613" t="s">
        <v>23</v>
      </c>
      <c r="H613" t="s">
        <v>16</v>
      </c>
      <c r="I613" s="3">
        <v>2336</v>
      </c>
      <c r="J613" s="3">
        <v>467.334</v>
      </c>
      <c r="K613" t="s">
        <v>37</v>
      </c>
    </row>
    <row r="614" spans="1:11" x14ac:dyDescent="0.35">
      <c r="A614" t="s">
        <v>1757</v>
      </c>
      <c r="B614" t="s">
        <v>1758</v>
      </c>
      <c r="C614" t="str">
        <f t="shared" si="14"/>
        <v xml:space="preserve"> 26-May-2025</v>
      </c>
      <c r="D614" t="s">
        <v>1759</v>
      </c>
      <c r="E614" t="s">
        <v>269</v>
      </c>
      <c r="F614" t="s">
        <v>86</v>
      </c>
      <c r="G614" t="s">
        <v>15</v>
      </c>
      <c r="H614" t="s">
        <v>41</v>
      </c>
      <c r="I614" s="3">
        <v>2089</v>
      </c>
      <c r="J614" s="3">
        <v>417.83599999999996</v>
      </c>
      <c r="K614" t="s">
        <v>37</v>
      </c>
    </row>
    <row r="615" spans="1:11" x14ac:dyDescent="0.35">
      <c r="A615" t="s">
        <v>1760</v>
      </c>
      <c r="B615" t="s">
        <v>1761</v>
      </c>
      <c r="C615" t="str">
        <f t="shared" si="14"/>
        <v>Friday-01-2024</v>
      </c>
      <c r="D615" t="s">
        <v>1762</v>
      </c>
      <c r="E615" t="s">
        <v>49</v>
      </c>
      <c r="F615" t="s">
        <v>29</v>
      </c>
      <c r="G615" t="s">
        <v>23</v>
      </c>
      <c r="H615" t="s">
        <v>41</v>
      </c>
      <c r="I615" s="3">
        <v>3612</v>
      </c>
      <c r="J615" s="3">
        <v>722.404</v>
      </c>
      <c r="K615" t="s">
        <v>37</v>
      </c>
    </row>
    <row r="616" spans="1:11" x14ac:dyDescent="0.35">
      <c r="A616" t="s">
        <v>1763</v>
      </c>
      <c r="B616" t="s">
        <v>1764</v>
      </c>
      <c r="C616" t="str">
        <f t="shared" si="14"/>
        <v xml:space="preserve"> 01-14-2025</v>
      </c>
      <c r="D616" t="s">
        <v>1765</v>
      </c>
      <c r="E616" t="s">
        <v>103</v>
      </c>
      <c r="F616" t="s">
        <v>14</v>
      </c>
      <c r="G616" t="s">
        <v>15</v>
      </c>
      <c r="H616" t="s">
        <v>16</v>
      </c>
      <c r="I616" s="3">
        <v>1657</v>
      </c>
      <c r="J616" s="3">
        <v>331.5</v>
      </c>
      <c r="K616" t="s">
        <v>37</v>
      </c>
    </row>
    <row r="617" spans="1:11" x14ac:dyDescent="0.35">
      <c r="A617" t="s">
        <v>1766</v>
      </c>
      <c r="B617" t="s">
        <v>1767</v>
      </c>
      <c r="C617" t="str">
        <f t="shared" si="14"/>
        <v>Monday-11-2024</v>
      </c>
      <c r="D617" t="s">
        <v>1062</v>
      </c>
      <c r="E617" t="s">
        <v>375</v>
      </c>
      <c r="F617" t="s">
        <v>22</v>
      </c>
      <c r="G617" t="s">
        <v>15</v>
      </c>
      <c r="H617" t="s">
        <v>31</v>
      </c>
      <c r="I617" s="3">
        <v>3393</v>
      </c>
      <c r="J617" s="3">
        <v>0</v>
      </c>
      <c r="K617" t="s">
        <v>24</v>
      </c>
    </row>
    <row r="618" spans="1:11" x14ac:dyDescent="0.35">
      <c r="A618" t="s">
        <v>1768</v>
      </c>
      <c r="B618" t="s">
        <v>1769</v>
      </c>
      <c r="C618" t="str">
        <f t="shared" si="14"/>
        <v>Friday-08-2024</v>
      </c>
      <c r="E618" t="s">
        <v>375</v>
      </c>
      <c r="F618" t="s">
        <v>22</v>
      </c>
      <c r="G618" t="s">
        <v>15</v>
      </c>
      <c r="H618" t="s">
        <v>41</v>
      </c>
      <c r="I618" s="3">
        <v>1482</v>
      </c>
      <c r="J618" s="3">
        <v>98.811999999999998</v>
      </c>
      <c r="K618" t="s">
        <v>24</v>
      </c>
    </row>
    <row r="619" spans="1:11" x14ac:dyDescent="0.35">
      <c r="A619" t="s">
        <v>1770</v>
      </c>
      <c r="B619" t="s">
        <v>1771</v>
      </c>
      <c r="C619" t="str">
        <f t="shared" si="14"/>
        <v xml:space="preserve"> 19/01/2024</v>
      </c>
      <c r="D619" t="s">
        <v>672</v>
      </c>
      <c r="E619" t="s">
        <v>108</v>
      </c>
      <c r="F619" t="s">
        <v>22</v>
      </c>
      <c r="G619" t="s">
        <v>23</v>
      </c>
      <c r="H619" t="s">
        <v>41</v>
      </c>
      <c r="I619" s="3">
        <v>3786</v>
      </c>
      <c r="J619" s="3">
        <v>757.31799999999998</v>
      </c>
      <c r="K619" t="s">
        <v>17</v>
      </c>
    </row>
    <row r="620" spans="1:11" x14ac:dyDescent="0.35">
      <c r="A620" t="s">
        <v>1772</v>
      </c>
      <c r="B620" t="s">
        <v>1773</v>
      </c>
      <c r="C620" t="str">
        <f t="shared" si="14"/>
        <v>Monday-06-2025</v>
      </c>
      <c r="D620" t="s">
        <v>1774</v>
      </c>
      <c r="E620" t="s">
        <v>269</v>
      </c>
      <c r="F620" t="s">
        <v>29</v>
      </c>
      <c r="G620" t="s">
        <v>23</v>
      </c>
      <c r="H620" t="s">
        <v>16</v>
      </c>
      <c r="I620" s="3">
        <v>1278</v>
      </c>
      <c r="J620" s="3">
        <v>63.941999999999993</v>
      </c>
      <c r="K620" t="s">
        <v>17</v>
      </c>
    </row>
    <row r="621" spans="1:11" x14ac:dyDescent="0.35">
      <c r="A621" t="s">
        <v>1775</v>
      </c>
      <c r="B621" t="s">
        <v>1776</v>
      </c>
      <c r="C621" t="str">
        <f t="shared" si="14"/>
        <v>Sunday-11-2023</v>
      </c>
      <c r="D621" t="s">
        <v>1777</v>
      </c>
      <c r="E621" t="s">
        <v>112</v>
      </c>
      <c r="F621" t="s">
        <v>14</v>
      </c>
      <c r="G621" t="s">
        <v>15</v>
      </c>
      <c r="H621" t="s">
        <v>16</v>
      </c>
      <c r="I621" s="3">
        <v>1607</v>
      </c>
      <c r="J621" s="3">
        <v>0</v>
      </c>
      <c r="K621" t="s">
        <v>24</v>
      </c>
    </row>
    <row r="622" spans="1:11" x14ac:dyDescent="0.35">
      <c r="A622" t="s">
        <v>1778</v>
      </c>
      <c r="B622" t="s">
        <v>1779</v>
      </c>
      <c r="C622" t="str">
        <f t="shared" si="14"/>
        <v>Wednesday-11-2023</v>
      </c>
      <c r="D622" t="s">
        <v>1780</v>
      </c>
      <c r="E622" t="s">
        <v>49</v>
      </c>
      <c r="F622" t="s">
        <v>22</v>
      </c>
      <c r="G622" t="s">
        <v>30</v>
      </c>
      <c r="H622" t="s">
        <v>31</v>
      </c>
      <c r="I622" s="3">
        <v>1260</v>
      </c>
      <c r="J622" s="3">
        <v>252.102</v>
      </c>
      <c r="K622" t="s">
        <v>37</v>
      </c>
    </row>
    <row r="623" spans="1:11" x14ac:dyDescent="0.35">
      <c r="A623" t="s">
        <v>1781</v>
      </c>
      <c r="B623" t="s">
        <v>1782</v>
      </c>
      <c r="C623" t="str">
        <f t="shared" si="14"/>
        <v>Friday-07-2024</v>
      </c>
      <c r="D623" t="s">
        <v>1783</v>
      </c>
      <c r="E623" t="s">
        <v>269</v>
      </c>
      <c r="F623" t="s">
        <v>143</v>
      </c>
      <c r="G623" t="s">
        <v>23</v>
      </c>
      <c r="H623" t="s">
        <v>16</v>
      </c>
      <c r="I623" s="3">
        <v>1931</v>
      </c>
      <c r="J623" s="3">
        <v>0</v>
      </c>
      <c r="K623" t="s">
        <v>37</v>
      </c>
    </row>
    <row r="624" spans="1:11" x14ac:dyDescent="0.35">
      <c r="A624" t="s">
        <v>1784</v>
      </c>
      <c r="B624" t="s">
        <v>1785</v>
      </c>
      <c r="C624" t="str">
        <f t="shared" si="14"/>
        <v>Sunday-02-2023</v>
      </c>
      <c r="D624" t="s">
        <v>1786</v>
      </c>
      <c r="E624" t="s">
        <v>49</v>
      </c>
      <c r="F624" t="s">
        <v>22</v>
      </c>
      <c r="G624" t="s">
        <v>30</v>
      </c>
      <c r="H624" t="s">
        <v>31</v>
      </c>
      <c r="I624" s="3">
        <v>3738</v>
      </c>
      <c r="J624" s="3">
        <v>249.25</v>
      </c>
      <c r="K624" t="s">
        <v>24</v>
      </c>
    </row>
    <row r="625" spans="1:11" x14ac:dyDescent="0.35">
      <c r="A625" t="s">
        <v>1787</v>
      </c>
      <c r="B625" t="s">
        <v>1788</v>
      </c>
      <c r="C625" t="str">
        <f t="shared" si="14"/>
        <v xml:space="preserve"> 14-Feb-2023</v>
      </c>
      <c r="D625" t="s">
        <v>1789</v>
      </c>
      <c r="E625" t="s">
        <v>79</v>
      </c>
      <c r="F625" t="s">
        <v>22</v>
      </c>
      <c r="G625" t="s">
        <v>30</v>
      </c>
      <c r="H625" t="s">
        <v>31</v>
      </c>
      <c r="I625" s="3">
        <v>403</v>
      </c>
      <c r="J625" s="3">
        <v>40.299999999999997</v>
      </c>
      <c r="K625" t="s">
        <v>24</v>
      </c>
    </row>
    <row r="626" spans="1:11" x14ac:dyDescent="0.35">
      <c r="A626" t="s">
        <v>1790</v>
      </c>
      <c r="B626" t="s">
        <v>1791</v>
      </c>
      <c r="C626" t="str">
        <f t="shared" si="14"/>
        <v>Wednesday-04-2023</v>
      </c>
      <c r="D626" t="s">
        <v>1792</v>
      </c>
      <c r="E626" t="s">
        <v>35</v>
      </c>
      <c r="F626" t="s">
        <v>14</v>
      </c>
      <c r="G626" t="s">
        <v>15</v>
      </c>
      <c r="H626" t="s">
        <v>41</v>
      </c>
      <c r="I626" s="3">
        <v>2201</v>
      </c>
      <c r="J626" s="3">
        <v>0</v>
      </c>
      <c r="K626" t="s">
        <v>37</v>
      </c>
    </row>
    <row r="627" spans="1:11" x14ac:dyDescent="0.35">
      <c r="A627" t="s">
        <v>1793</v>
      </c>
      <c r="B627" t="s">
        <v>1794</v>
      </c>
      <c r="C627" t="str">
        <f t="shared" si="14"/>
        <v>Monday-10-2024</v>
      </c>
      <c r="D627" t="s">
        <v>1795</v>
      </c>
      <c r="E627" t="s">
        <v>49</v>
      </c>
      <c r="F627" t="s">
        <v>66</v>
      </c>
      <c r="G627" t="s">
        <v>15</v>
      </c>
      <c r="H627" t="s">
        <v>16</v>
      </c>
      <c r="I627" s="3">
        <v>2179</v>
      </c>
      <c r="J627" s="3">
        <v>0</v>
      </c>
      <c r="K627" t="s">
        <v>24</v>
      </c>
    </row>
    <row r="628" spans="1:11" x14ac:dyDescent="0.35">
      <c r="A628" t="s">
        <v>1796</v>
      </c>
      <c r="B628" t="s">
        <v>1797</v>
      </c>
      <c r="C628" t="str">
        <f t="shared" si="14"/>
        <v>Saturday-03-2025</v>
      </c>
      <c r="D628" t="s">
        <v>1798</v>
      </c>
      <c r="E628" t="s">
        <v>28</v>
      </c>
      <c r="F628" t="s">
        <v>22</v>
      </c>
      <c r="G628" t="s">
        <v>23</v>
      </c>
      <c r="H628" t="s">
        <v>16</v>
      </c>
      <c r="I628" s="3">
        <v>3588</v>
      </c>
      <c r="J628" s="3">
        <v>358.88499999999999</v>
      </c>
      <c r="K628" t="s">
        <v>37</v>
      </c>
    </row>
    <row r="629" spans="1:11" x14ac:dyDescent="0.35">
      <c r="A629" t="s">
        <v>1799</v>
      </c>
      <c r="B629" t="s">
        <v>1800</v>
      </c>
      <c r="C629" t="str">
        <f t="shared" si="14"/>
        <v>Friday-09-2024</v>
      </c>
      <c r="D629" t="s">
        <v>1801</v>
      </c>
      <c r="E629" t="s">
        <v>21</v>
      </c>
      <c r="F629" t="s">
        <v>14</v>
      </c>
      <c r="G629" t="s">
        <v>15</v>
      </c>
      <c r="H629" t="s">
        <v>31</v>
      </c>
      <c r="I629" s="3">
        <v>1017</v>
      </c>
      <c r="J629" s="3">
        <v>203.56</v>
      </c>
      <c r="K629" t="s">
        <v>17</v>
      </c>
    </row>
    <row r="630" spans="1:11" x14ac:dyDescent="0.35">
      <c r="A630" t="s">
        <v>1802</v>
      </c>
      <c r="B630" t="s">
        <v>114</v>
      </c>
      <c r="C630" t="str">
        <f t="shared" si="14"/>
        <v>Friday-04-2024</v>
      </c>
      <c r="D630" t="s">
        <v>1803</v>
      </c>
      <c r="E630" t="s">
        <v>269</v>
      </c>
      <c r="F630" t="s">
        <v>22</v>
      </c>
      <c r="G630" t="s">
        <v>23</v>
      </c>
      <c r="H630" t="s">
        <v>16</v>
      </c>
      <c r="I630" s="3">
        <v>3882</v>
      </c>
      <c r="J630" s="3">
        <v>388.28399999999999</v>
      </c>
      <c r="K630" t="s">
        <v>17</v>
      </c>
    </row>
    <row r="631" spans="1:11" x14ac:dyDescent="0.35">
      <c r="A631" t="s">
        <v>1804</v>
      </c>
      <c r="B631" t="s">
        <v>1805</v>
      </c>
      <c r="C631" t="str">
        <f t="shared" si="14"/>
        <v>Friday-02-2024</v>
      </c>
      <c r="D631" t="s">
        <v>1806</v>
      </c>
      <c r="E631" t="s">
        <v>202</v>
      </c>
      <c r="F631" t="s">
        <v>99</v>
      </c>
      <c r="G631" t="s">
        <v>15</v>
      </c>
      <c r="H631" t="s">
        <v>31</v>
      </c>
      <c r="I631" s="3">
        <v>3461</v>
      </c>
      <c r="J631" s="3">
        <v>346.149</v>
      </c>
      <c r="K631" t="s">
        <v>37</v>
      </c>
    </row>
    <row r="632" spans="1:11" x14ac:dyDescent="0.35">
      <c r="A632" t="s">
        <v>1807</v>
      </c>
      <c r="B632" t="s">
        <v>1808</v>
      </c>
      <c r="C632" t="str">
        <f t="shared" si="14"/>
        <v xml:space="preserve"> 2025-03-27</v>
      </c>
      <c r="D632" t="s">
        <v>1809</v>
      </c>
      <c r="E632" t="s">
        <v>13</v>
      </c>
      <c r="F632" t="s">
        <v>36</v>
      </c>
      <c r="G632" t="s">
        <v>15</v>
      </c>
      <c r="H632" t="s">
        <v>31</v>
      </c>
      <c r="I632" s="3">
        <v>4809</v>
      </c>
      <c r="J632" s="3">
        <v>0</v>
      </c>
      <c r="K632" t="s">
        <v>17</v>
      </c>
    </row>
    <row r="633" spans="1:11" x14ac:dyDescent="0.35">
      <c r="A633" t="s">
        <v>1810</v>
      </c>
      <c r="B633" t="s">
        <v>1811</v>
      </c>
      <c r="C633" t="str">
        <f t="shared" si="14"/>
        <v>Wednesday-08-2023</v>
      </c>
      <c r="D633" t="s">
        <v>1812</v>
      </c>
      <c r="E633" t="s">
        <v>13</v>
      </c>
      <c r="F633" t="s">
        <v>86</v>
      </c>
      <c r="G633" t="s">
        <v>15</v>
      </c>
      <c r="H633" t="s">
        <v>16</v>
      </c>
      <c r="I633" s="3">
        <v>1380</v>
      </c>
      <c r="J633" s="3">
        <v>69.013000000000005</v>
      </c>
      <c r="K633" t="s">
        <v>24</v>
      </c>
    </row>
    <row r="634" spans="1:11" x14ac:dyDescent="0.35">
      <c r="A634" t="s">
        <v>1813</v>
      </c>
      <c r="B634" t="s">
        <v>1814</v>
      </c>
      <c r="C634" t="str">
        <f t="shared" si="14"/>
        <v xml:space="preserve"> 04-13-2024 02:40</v>
      </c>
      <c r="D634" t="s">
        <v>1815</v>
      </c>
      <c r="E634" t="s">
        <v>375</v>
      </c>
      <c r="F634" t="s">
        <v>66</v>
      </c>
      <c r="G634" t="s">
        <v>23</v>
      </c>
      <c r="H634" t="s">
        <v>16</v>
      </c>
      <c r="I634" s="3">
        <v>4390</v>
      </c>
      <c r="J634" s="3">
        <v>0</v>
      </c>
      <c r="K634" t="s">
        <v>37</v>
      </c>
    </row>
    <row r="635" spans="1:11" x14ac:dyDescent="0.35">
      <c r="A635" t="s">
        <v>1816</v>
      </c>
      <c r="B635" t="s">
        <v>1817</v>
      </c>
      <c r="C635" t="str">
        <f t="shared" si="14"/>
        <v>Thursday-10-2024</v>
      </c>
      <c r="D635" t="s">
        <v>1818</v>
      </c>
      <c r="E635" t="s">
        <v>21</v>
      </c>
      <c r="F635" t="s">
        <v>22</v>
      </c>
      <c r="G635" t="s">
        <v>23</v>
      </c>
      <c r="H635" t="s">
        <v>16</v>
      </c>
      <c r="I635" s="3">
        <v>187</v>
      </c>
      <c r="J635" s="3">
        <v>0</v>
      </c>
      <c r="K635" t="s">
        <v>37</v>
      </c>
    </row>
    <row r="636" spans="1:11" x14ac:dyDescent="0.35">
      <c r="A636" t="s">
        <v>1819</v>
      </c>
      <c r="B636" t="s">
        <v>1820</v>
      </c>
      <c r="C636" t="str">
        <f t="shared" si="14"/>
        <v>03-23-2025 04:54</v>
      </c>
      <c r="D636" t="s">
        <v>1821</v>
      </c>
      <c r="E636" t="s">
        <v>45</v>
      </c>
      <c r="F636" t="s">
        <v>86</v>
      </c>
      <c r="G636" t="s">
        <v>23</v>
      </c>
      <c r="H636" t="s">
        <v>41</v>
      </c>
      <c r="I636" s="3">
        <v>3589</v>
      </c>
      <c r="J636" s="3">
        <v>0</v>
      </c>
      <c r="K636" t="s">
        <v>17</v>
      </c>
    </row>
    <row r="637" spans="1:11" x14ac:dyDescent="0.35">
      <c r="A637" t="s">
        <v>1822</v>
      </c>
      <c r="B637" t="s">
        <v>1823</v>
      </c>
      <c r="C637" t="str">
        <f t="shared" si="14"/>
        <v xml:space="preserve"> 05-10-2024</v>
      </c>
      <c r="D637" t="s">
        <v>1824</v>
      </c>
      <c r="E637" t="s">
        <v>28</v>
      </c>
      <c r="F637" t="s">
        <v>14</v>
      </c>
      <c r="G637" t="s">
        <v>30</v>
      </c>
      <c r="H637" t="s">
        <v>31</v>
      </c>
      <c r="I637" s="3">
        <v>2214</v>
      </c>
      <c r="J637" s="3">
        <v>221.411</v>
      </c>
      <c r="K637" t="s">
        <v>37</v>
      </c>
    </row>
    <row r="638" spans="1:11" x14ac:dyDescent="0.35">
      <c r="A638" t="s">
        <v>1825</v>
      </c>
      <c r="B638" t="s">
        <v>1826</v>
      </c>
      <c r="C638" t="str">
        <f t="shared" si="14"/>
        <v>Sunday-11-2023</v>
      </c>
      <c r="D638" t="s">
        <v>1827</v>
      </c>
      <c r="E638" t="s">
        <v>112</v>
      </c>
      <c r="F638" t="s">
        <v>86</v>
      </c>
      <c r="G638" t="s">
        <v>23</v>
      </c>
      <c r="H638" t="s">
        <v>41</v>
      </c>
      <c r="I638" s="3">
        <v>4361</v>
      </c>
      <c r="J638" s="3">
        <v>0</v>
      </c>
      <c r="K638" t="s">
        <v>37</v>
      </c>
    </row>
    <row r="639" spans="1:11" x14ac:dyDescent="0.35">
      <c r="A639" t="s">
        <v>1828</v>
      </c>
      <c r="B639" t="s">
        <v>1829</v>
      </c>
      <c r="C639" t="str">
        <f t="shared" si="14"/>
        <v>Sunday-05-2023</v>
      </c>
      <c r="D639" t="s">
        <v>1830</v>
      </c>
      <c r="E639" t="s">
        <v>35</v>
      </c>
      <c r="F639" t="s">
        <v>29</v>
      </c>
      <c r="G639" t="s">
        <v>23</v>
      </c>
      <c r="H639" t="s">
        <v>16</v>
      </c>
      <c r="I639" s="3">
        <v>769</v>
      </c>
      <c r="J639" s="3">
        <v>0</v>
      </c>
      <c r="K639" t="s">
        <v>37</v>
      </c>
    </row>
    <row r="640" spans="1:11" x14ac:dyDescent="0.35">
      <c r="A640" t="s">
        <v>1831</v>
      </c>
      <c r="B640" t="s">
        <v>1832</v>
      </c>
      <c r="C640" t="str">
        <f t="shared" si="14"/>
        <v>Saturday-02-2025</v>
      </c>
      <c r="D640" t="s">
        <v>1833</v>
      </c>
      <c r="E640" t="s">
        <v>13</v>
      </c>
      <c r="F640" t="s">
        <v>57</v>
      </c>
      <c r="G640" t="s">
        <v>30</v>
      </c>
      <c r="H640" t="s">
        <v>16</v>
      </c>
      <c r="I640" s="3">
        <v>3498</v>
      </c>
      <c r="J640" s="3">
        <v>0</v>
      </c>
      <c r="K640" t="s">
        <v>17</v>
      </c>
    </row>
    <row r="641" spans="1:11" x14ac:dyDescent="0.35">
      <c r="A641" t="s">
        <v>1834</v>
      </c>
      <c r="B641" t="s">
        <v>1835</v>
      </c>
      <c r="C641" t="str">
        <f t="shared" si="14"/>
        <v>Sunday-07-2023</v>
      </c>
      <c r="D641" t="s">
        <v>1836</v>
      </c>
      <c r="E641" t="s">
        <v>21</v>
      </c>
      <c r="F641" t="s">
        <v>14</v>
      </c>
      <c r="G641" t="s">
        <v>30</v>
      </c>
      <c r="H641" t="s">
        <v>31</v>
      </c>
      <c r="I641" s="3">
        <v>198</v>
      </c>
      <c r="J641" s="3">
        <v>39.798000000000002</v>
      </c>
      <c r="K641" t="s">
        <v>17</v>
      </c>
    </row>
    <row r="642" spans="1:11" x14ac:dyDescent="0.35">
      <c r="A642" t="s">
        <v>1837</v>
      </c>
      <c r="B642" t="s">
        <v>1838</v>
      </c>
      <c r="C642" t="str">
        <f t="shared" si="14"/>
        <v>Friday-07-2024</v>
      </c>
      <c r="D642" t="s">
        <v>1839</v>
      </c>
      <c r="E642" t="s">
        <v>28</v>
      </c>
      <c r="F642" t="s">
        <v>86</v>
      </c>
      <c r="G642" t="s">
        <v>30</v>
      </c>
      <c r="H642" t="s">
        <v>16</v>
      </c>
      <c r="I642" s="3">
        <v>2018</v>
      </c>
      <c r="J642" s="3">
        <v>0</v>
      </c>
      <c r="K642" t="s">
        <v>37</v>
      </c>
    </row>
    <row r="643" spans="1:11" x14ac:dyDescent="0.35">
      <c r="A643" t="s">
        <v>1840</v>
      </c>
      <c r="B643" t="s">
        <v>1841</v>
      </c>
      <c r="C643" t="str">
        <f t="shared" ref="C643:C706" si="15">TEXT(B643,"dddd-mm-yyyy")</f>
        <v xml:space="preserve"> 23-Mar-2024</v>
      </c>
      <c r="D643" t="s">
        <v>1842</v>
      </c>
      <c r="E643" t="s">
        <v>79</v>
      </c>
      <c r="F643" t="s">
        <v>22</v>
      </c>
      <c r="G643" t="s">
        <v>15</v>
      </c>
      <c r="H643" t="s">
        <v>16</v>
      </c>
      <c r="I643" s="3">
        <v>4620</v>
      </c>
      <c r="J643" s="3">
        <v>462.012</v>
      </c>
      <c r="K643" t="s">
        <v>24</v>
      </c>
    </row>
    <row r="644" spans="1:11" x14ac:dyDescent="0.35">
      <c r="A644" t="s">
        <v>1843</v>
      </c>
      <c r="B644" t="s">
        <v>1844</v>
      </c>
      <c r="C644" t="str">
        <f t="shared" si="15"/>
        <v>Thursday-12-2024</v>
      </c>
      <c r="D644" t="s">
        <v>1845</v>
      </c>
      <c r="E644" t="s">
        <v>253</v>
      </c>
      <c r="F644" t="s">
        <v>86</v>
      </c>
      <c r="G644" t="s">
        <v>15</v>
      </c>
      <c r="H644" t="s">
        <v>31</v>
      </c>
      <c r="I644" s="3">
        <v>4620</v>
      </c>
      <c r="J644" s="3">
        <v>0</v>
      </c>
      <c r="K644" t="s">
        <v>17</v>
      </c>
    </row>
    <row r="645" spans="1:11" x14ac:dyDescent="0.35">
      <c r="A645" t="s">
        <v>1846</v>
      </c>
      <c r="B645" t="s">
        <v>1847</v>
      </c>
      <c r="C645" t="str">
        <f t="shared" si="15"/>
        <v>Saturday-04-2025</v>
      </c>
      <c r="D645" t="s">
        <v>1848</v>
      </c>
      <c r="E645" t="s">
        <v>49</v>
      </c>
      <c r="F645" t="s">
        <v>29</v>
      </c>
      <c r="G645" t="s">
        <v>23</v>
      </c>
      <c r="H645" t="s">
        <v>41</v>
      </c>
      <c r="I645" s="3">
        <v>1995</v>
      </c>
      <c r="J645" s="3">
        <v>399.14</v>
      </c>
      <c r="K645" t="s">
        <v>37</v>
      </c>
    </row>
    <row r="646" spans="1:11" x14ac:dyDescent="0.35">
      <c r="A646" t="s">
        <v>1849</v>
      </c>
      <c r="B646" t="s">
        <v>1850</v>
      </c>
      <c r="C646" t="str">
        <f t="shared" si="15"/>
        <v>Friday-10-2024</v>
      </c>
      <c r="D646" t="s">
        <v>1851</v>
      </c>
      <c r="E646" t="s">
        <v>49</v>
      </c>
      <c r="F646" t="s">
        <v>29</v>
      </c>
      <c r="G646" t="s">
        <v>23</v>
      </c>
      <c r="H646" t="s">
        <v>16</v>
      </c>
      <c r="I646" s="3">
        <v>843</v>
      </c>
      <c r="J646" s="3">
        <v>168.75799999999998</v>
      </c>
      <c r="K646" t="s">
        <v>17</v>
      </c>
    </row>
    <row r="647" spans="1:11" x14ac:dyDescent="0.35">
      <c r="A647" t="s">
        <v>1852</v>
      </c>
      <c r="B647" t="s">
        <v>1853</v>
      </c>
      <c r="C647" t="str">
        <f t="shared" si="15"/>
        <v>Friday-02-2023</v>
      </c>
      <c r="D647" t="s">
        <v>1854</v>
      </c>
      <c r="E647" t="s">
        <v>13</v>
      </c>
      <c r="F647" t="s">
        <v>62</v>
      </c>
      <c r="G647" t="s">
        <v>15</v>
      </c>
      <c r="H647" t="s">
        <v>31</v>
      </c>
      <c r="I647" s="3">
        <v>402</v>
      </c>
      <c r="J647" s="3">
        <v>26.81</v>
      </c>
      <c r="K647" t="s">
        <v>24</v>
      </c>
    </row>
    <row r="648" spans="1:11" x14ac:dyDescent="0.35">
      <c r="A648" t="s">
        <v>1855</v>
      </c>
      <c r="B648" t="s">
        <v>1856</v>
      </c>
      <c r="C648" t="str">
        <f t="shared" si="15"/>
        <v>07-15-2023 14:41</v>
      </c>
      <c r="E648" t="s">
        <v>202</v>
      </c>
      <c r="F648" t="s">
        <v>29</v>
      </c>
      <c r="G648" t="s">
        <v>15</v>
      </c>
      <c r="H648" t="s">
        <v>31</v>
      </c>
      <c r="I648" s="3">
        <v>2169</v>
      </c>
      <c r="J648" s="3">
        <v>0</v>
      </c>
      <c r="K648" t="s">
        <v>17</v>
      </c>
    </row>
    <row r="649" spans="1:11" x14ac:dyDescent="0.35">
      <c r="A649" t="s">
        <v>1857</v>
      </c>
      <c r="B649" t="s">
        <v>1858</v>
      </c>
      <c r="C649" t="str">
        <f t="shared" si="15"/>
        <v xml:space="preserve"> 27 November 2024 19:22</v>
      </c>
      <c r="D649" t="s">
        <v>1859</v>
      </c>
      <c r="E649" t="s">
        <v>375</v>
      </c>
      <c r="F649" t="s">
        <v>29</v>
      </c>
      <c r="G649" t="s">
        <v>30</v>
      </c>
      <c r="H649" t="s">
        <v>16</v>
      </c>
      <c r="I649" s="3">
        <v>1403</v>
      </c>
      <c r="J649" s="3">
        <v>0</v>
      </c>
      <c r="K649" t="s">
        <v>37</v>
      </c>
    </row>
    <row r="650" spans="1:11" x14ac:dyDescent="0.35">
      <c r="A650" t="s">
        <v>1860</v>
      </c>
      <c r="B650" t="s">
        <v>1861</v>
      </c>
      <c r="C650" t="str">
        <f t="shared" si="15"/>
        <v>Wednesday-08-2023</v>
      </c>
      <c r="D650" t="s">
        <v>1862</v>
      </c>
      <c r="E650" t="s">
        <v>112</v>
      </c>
      <c r="F650" t="s">
        <v>36</v>
      </c>
      <c r="G650" t="s">
        <v>30</v>
      </c>
      <c r="H650" t="s">
        <v>31</v>
      </c>
      <c r="I650" s="3">
        <v>708</v>
      </c>
      <c r="J650" s="3">
        <v>47.252666666666663</v>
      </c>
      <c r="K650" t="s">
        <v>24</v>
      </c>
    </row>
    <row r="651" spans="1:11" x14ac:dyDescent="0.35">
      <c r="A651" t="s">
        <v>1863</v>
      </c>
      <c r="B651" t="s">
        <v>1563</v>
      </c>
      <c r="C651" t="str">
        <f t="shared" si="15"/>
        <v>Tuesday-05-2023</v>
      </c>
      <c r="D651" t="s">
        <v>1864</v>
      </c>
      <c r="E651" t="s">
        <v>108</v>
      </c>
      <c r="F651" t="s">
        <v>36</v>
      </c>
      <c r="G651" t="s">
        <v>23</v>
      </c>
      <c r="H651" t="s">
        <v>41</v>
      </c>
      <c r="I651" s="3">
        <v>1155</v>
      </c>
      <c r="J651" s="3">
        <v>231.142</v>
      </c>
      <c r="K651" t="s">
        <v>24</v>
      </c>
    </row>
    <row r="652" spans="1:11" x14ac:dyDescent="0.35">
      <c r="A652" t="s">
        <v>1865</v>
      </c>
      <c r="B652" t="s">
        <v>1866</v>
      </c>
      <c r="C652" t="str">
        <f t="shared" si="15"/>
        <v>Saturday-04-2025</v>
      </c>
      <c r="D652" t="s">
        <v>1867</v>
      </c>
      <c r="E652" t="s">
        <v>108</v>
      </c>
      <c r="F652" t="s">
        <v>14</v>
      </c>
      <c r="G652" t="s">
        <v>23</v>
      </c>
      <c r="H652" t="s">
        <v>16</v>
      </c>
      <c r="I652" s="3">
        <v>1538</v>
      </c>
      <c r="J652" s="3">
        <v>0</v>
      </c>
      <c r="K652" t="s">
        <v>37</v>
      </c>
    </row>
    <row r="653" spans="1:11" x14ac:dyDescent="0.35">
      <c r="A653" t="s">
        <v>1868</v>
      </c>
      <c r="B653" t="s">
        <v>1869</v>
      </c>
      <c r="C653" t="str">
        <f t="shared" si="15"/>
        <v>Wednesday-02-2023</v>
      </c>
      <c r="D653" t="s">
        <v>1870</v>
      </c>
      <c r="E653" t="s">
        <v>35</v>
      </c>
      <c r="F653" t="s">
        <v>29</v>
      </c>
      <c r="G653" t="s">
        <v>23</v>
      </c>
      <c r="H653" t="s">
        <v>41</v>
      </c>
      <c r="I653" s="3">
        <v>2368</v>
      </c>
      <c r="J653" s="3">
        <v>0</v>
      </c>
      <c r="K653" t="s">
        <v>24</v>
      </c>
    </row>
    <row r="654" spans="1:11" x14ac:dyDescent="0.35">
      <c r="A654" t="s">
        <v>1871</v>
      </c>
      <c r="B654" t="s">
        <v>1872</v>
      </c>
      <c r="C654" t="str">
        <f t="shared" si="15"/>
        <v>Sunday-03-2024</v>
      </c>
      <c r="D654" t="s">
        <v>1873</v>
      </c>
      <c r="E654" t="s">
        <v>103</v>
      </c>
      <c r="F654" t="s">
        <v>29</v>
      </c>
      <c r="G654" t="s">
        <v>30</v>
      </c>
      <c r="H654" t="s">
        <v>31</v>
      </c>
      <c r="I654" s="3">
        <v>3688</v>
      </c>
      <c r="J654" s="3">
        <v>368.80599999999998</v>
      </c>
      <c r="K654" t="s">
        <v>37</v>
      </c>
    </row>
    <row r="655" spans="1:11" x14ac:dyDescent="0.35">
      <c r="A655" t="s">
        <v>1874</v>
      </c>
      <c r="B655" t="s">
        <v>1875</v>
      </c>
      <c r="C655" t="str">
        <f t="shared" si="15"/>
        <v>Wednesday-01-2025</v>
      </c>
      <c r="D655" t="s">
        <v>1876</v>
      </c>
      <c r="E655" t="s">
        <v>49</v>
      </c>
      <c r="F655" t="s">
        <v>86</v>
      </c>
      <c r="G655" t="s">
        <v>23</v>
      </c>
      <c r="H655" t="s">
        <v>16</v>
      </c>
      <c r="I655" s="3">
        <v>195</v>
      </c>
      <c r="J655" s="3">
        <v>39.013999999999996</v>
      </c>
      <c r="K655" t="s">
        <v>24</v>
      </c>
    </row>
    <row r="656" spans="1:11" x14ac:dyDescent="0.35">
      <c r="A656" t="s">
        <v>1877</v>
      </c>
      <c r="B656" t="s">
        <v>1878</v>
      </c>
      <c r="C656" t="str">
        <f t="shared" si="15"/>
        <v>Monday-10-2024</v>
      </c>
      <c r="D656" t="s">
        <v>1879</v>
      </c>
      <c r="E656" t="s">
        <v>13</v>
      </c>
      <c r="F656" t="s">
        <v>36</v>
      </c>
      <c r="G656" t="s">
        <v>15</v>
      </c>
      <c r="H656" t="s">
        <v>41</v>
      </c>
      <c r="I656" s="3">
        <v>4839</v>
      </c>
      <c r="J656" s="3">
        <v>967.80400000000009</v>
      </c>
      <c r="K656" t="s">
        <v>37</v>
      </c>
    </row>
    <row r="657" spans="1:11" x14ac:dyDescent="0.35">
      <c r="A657" t="s">
        <v>1880</v>
      </c>
      <c r="B657" t="s">
        <v>1881</v>
      </c>
      <c r="C657" t="str">
        <f t="shared" si="15"/>
        <v>Monday-10-2023</v>
      </c>
      <c r="D657" t="s">
        <v>532</v>
      </c>
      <c r="E657" t="s">
        <v>21</v>
      </c>
      <c r="F657" t="s">
        <v>66</v>
      </c>
      <c r="G657" t="s">
        <v>23</v>
      </c>
      <c r="H657" t="s">
        <v>41</v>
      </c>
      <c r="I657" s="3">
        <v>4325</v>
      </c>
      <c r="J657" s="3">
        <v>0</v>
      </c>
      <c r="K657" t="s">
        <v>24</v>
      </c>
    </row>
    <row r="658" spans="1:11" x14ac:dyDescent="0.35">
      <c r="A658" t="s">
        <v>1882</v>
      </c>
      <c r="B658" t="s">
        <v>1883</v>
      </c>
      <c r="C658" t="str">
        <f t="shared" si="15"/>
        <v>Tuesday-03-2024</v>
      </c>
      <c r="D658" t="s">
        <v>1884</v>
      </c>
      <c r="E658" t="s">
        <v>53</v>
      </c>
      <c r="F658" t="s">
        <v>22</v>
      </c>
      <c r="G658" t="s">
        <v>23</v>
      </c>
      <c r="H658" t="s">
        <v>31</v>
      </c>
      <c r="I658" s="3">
        <v>1801</v>
      </c>
      <c r="J658" s="3">
        <v>120.086</v>
      </c>
      <c r="K658" t="s">
        <v>17</v>
      </c>
    </row>
    <row r="659" spans="1:11" x14ac:dyDescent="0.35">
      <c r="A659" t="s">
        <v>1885</v>
      </c>
      <c r="B659" t="s">
        <v>1886</v>
      </c>
      <c r="C659" t="str">
        <f t="shared" si="15"/>
        <v>Monday-03-2024</v>
      </c>
      <c r="D659" t="s">
        <v>1887</v>
      </c>
      <c r="E659" t="s">
        <v>103</v>
      </c>
      <c r="F659" t="s">
        <v>143</v>
      </c>
      <c r="G659" t="s">
        <v>23</v>
      </c>
      <c r="H659" t="s">
        <v>16</v>
      </c>
      <c r="I659" s="3">
        <v>942</v>
      </c>
      <c r="J659" s="3">
        <v>188.42599999999999</v>
      </c>
      <c r="K659" t="s">
        <v>17</v>
      </c>
    </row>
    <row r="660" spans="1:11" x14ac:dyDescent="0.35">
      <c r="A660" t="s">
        <v>1888</v>
      </c>
      <c r="B660" t="s">
        <v>1889</v>
      </c>
      <c r="C660" t="str">
        <f t="shared" si="15"/>
        <v>03-25-2025</v>
      </c>
      <c r="D660" t="s">
        <v>1890</v>
      </c>
      <c r="E660" t="s">
        <v>108</v>
      </c>
      <c r="F660" t="s">
        <v>36</v>
      </c>
      <c r="G660" t="s">
        <v>30</v>
      </c>
      <c r="H660" t="s">
        <v>31</v>
      </c>
      <c r="I660" s="3">
        <v>3448</v>
      </c>
      <c r="J660" s="3">
        <v>689.69200000000001</v>
      </c>
      <c r="K660" t="s">
        <v>37</v>
      </c>
    </row>
    <row r="661" spans="1:11" x14ac:dyDescent="0.35">
      <c r="A661" t="s">
        <v>1891</v>
      </c>
      <c r="B661" t="s">
        <v>1892</v>
      </c>
      <c r="C661" t="str">
        <f t="shared" si="15"/>
        <v xml:space="preserve"> 2023-08-06</v>
      </c>
      <c r="D661" t="s">
        <v>1893</v>
      </c>
      <c r="E661" t="s">
        <v>21</v>
      </c>
      <c r="F661" t="s">
        <v>66</v>
      </c>
      <c r="G661" t="s">
        <v>15</v>
      </c>
      <c r="H661" t="s">
        <v>16</v>
      </c>
      <c r="I661" s="3">
        <v>3658</v>
      </c>
      <c r="J661" s="3">
        <v>182.928</v>
      </c>
      <c r="K661" t="s">
        <v>37</v>
      </c>
    </row>
    <row r="662" spans="1:11" x14ac:dyDescent="0.35">
      <c r="A662" t="s">
        <v>1894</v>
      </c>
      <c r="B662" t="s">
        <v>1895</v>
      </c>
      <c r="C662" t="str">
        <f t="shared" si="15"/>
        <v>Sunday-06-2023</v>
      </c>
      <c r="D662" t="s">
        <v>1896</v>
      </c>
      <c r="E662" t="s">
        <v>79</v>
      </c>
      <c r="F662" t="s">
        <v>22</v>
      </c>
      <c r="G662" t="s">
        <v>23</v>
      </c>
      <c r="H662" t="s">
        <v>16</v>
      </c>
      <c r="I662" s="3">
        <v>4609</v>
      </c>
      <c r="J662" s="3">
        <v>0</v>
      </c>
      <c r="K662" t="s">
        <v>37</v>
      </c>
    </row>
    <row r="663" spans="1:11" x14ac:dyDescent="0.35">
      <c r="A663" t="s">
        <v>1897</v>
      </c>
      <c r="B663" t="s">
        <v>1898</v>
      </c>
      <c r="C663" t="str">
        <f t="shared" si="15"/>
        <v>Wednesday-07-2024</v>
      </c>
      <c r="D663" t="s">
        <v>1899</v>
      </c>
      <c r="E663" t="s">
        <v>45</v>
      </c>
      <c r="F663" t="s">
        <v>14</v>
      </c>
      <c r="G663" t="s">
        <v>23</v>
      </c>
      <c r="H663" t="s">
        <v>41</v>
      </c>
      <c r="I663" s="3">
        <v>2710</v>
      </c>
      <c r="J663" s="3">
        <v>271.00400000000002</v>
      </c>
      <c r="K663" t="s">
        <v>24</v>
      </c>
    </row>
    <row r="664" spans="1:11" x14ac:dyDescent="0.35">
      <c r="A664" t="s">
        <v>1900</v>
      </c>
      <c r="B664" t="s">
        <v>1901</v>
      </c>
      <c r="C664" t="str">
        <f t="shared" si="15"/>
        <v>Monday-02-2024</v>
      </c>
      <c r="D664" t="s">
        <v>1902</v>
      </c>
      <c r="E664" t="s">
        <v>45</v>
      </c>
      <c r="F664" t="s">
        <v>36</v>
      </c>
      <c r="G664" t="s">
        <v>15</v>
      </c>
      <c r="H664" t="s">
        <v>16</v>
      </c>
      <c r="I664" s="3">
        <v>4455</v>
      </c>
      <c r="J664" s="3">
        <v>891.14400000000001</v>
      </c>
      <c r="K664" t="s">
        <v>17</v>
      </c>
    </row>
    <row r="665" spans="1:11" x14ac:dyDescent="0.35">
      <c r="A665" t="s">
        <v>1903</v>
      </c>
      <c r="B665" t="s">
        <v>1904</v>
      </c>
      <c r="C665" t="str">
        <f t="shared" si="15"/>
        <v>Monday-10-2023</v>
      </c>
      <c r="D665" t="s">
        <v>1905</v>
      </c>
      <c r="E665" t="s">
        <v>103</v>
      </c>
      <c r="F665" t="s">
        <v>36</v>
      </c>
      <c r="G665" t="s">
        <v>23</v>
      </c>
      <c r="H665" t="s">
        <v>31</v>
      </c>
      <c r="I665" s="3">
        <v>2797</v>
      </c>
      <c r="J665" s="3">
        <v>559.47199999999998</v>
      </c>
      <c r="K665" t="s">
        <v>24</v>
      </c>
    </row>
    <row r="666" spans="1:11" x14ac:dyDescent="0.35">
      <c r="A666" t="s">
        <v>1906</v>
      </c>
      <c r="B666" t="s">
        <v>1907</v>
      </c>
      <c r="C666" t="str">
        <f t="shared" si="15"/>
        <v>01-19-2024</v>
      </c>
      <c r="D666" t="s">
        <v>1908</v>
      </c>
      <c r="E666" t="s">
        <v>28</v>
      </c>
      <c r="F666" t="s">
        <v>14</v>
      </c>
      <c r="G666" t="s">
        <v>15</v>
      </c>
      <c r="H666" t="s">
        <v>31</v>
      </c>
      <c r="I666" s="3">
        <v>2936</v>
      </c>
      <c r="J666" s="3">
        <v>293.649</v>
      </c>
      <c r="K666" t="s">
        <v>24</v>
      </c>
    </row>
    <row r="667" spans="1:11" x14ac:dyDescent="0.35">
      <c r="A667" t="s">
        <v>1909</v>
      </c>
      <c r="B667" t="s">
        <v>1910</v>
      </c>
      <c r="C667" t="str">
        <f t="shared" si="15"/>
        <v>Tuesday-04-2024</v>
      </c>
      <c r="D667" t="s">
        <v>1911</v>
      </c>
      <c r="E667" t="s">
        <v>45</v>
      </c>
      <c r="F667" t="s">
        <v>36</v>
      </c>
      <c r="G667" t="s">
        <v>15</v>
      </c>
      <c r="H667" t="s">
        <v>31</v>
      </c>
      <c r="I667" s="3">
        <v>2392</v>
      </c>
      <c r="J667" s="3">
        <v>478.45400000000001</v>
      </c>
      <c r="K667" t="s">
        <v>37</v>
      </c>
    </row>
    <row r="668" spans="1:11" x14ac:dyDescent="0.35">
      <c r="A668" t="s">
        <v>1912</v>
      </c>
      <c r="B668" t="s">
        <v>1913</v>
      </c>
      <c r="C668" t="str">
        <f t="shared" si="15"/>
        <v xml:space="preserve"> 30/06/2023</v>
      </c>
      <c r="D668" t="s">
        <v>1914</v>
      </c>
      <c r="E668" t="s">
        <v>108</v>
      </c>
      <c r="F668" t="s">
        <v>36</v>
      </c>
      <c r="G668" t="s">
        <v>15</v>
      </c>
      <c r="H668" t="s">
        <v>31</v>
      </c>
      <c r="I668" s="3">
        <v>268</v>
      </c>
      <c r="J668" s="3">
        <v>53.748000000000005</v>
      </c>
      <c r="K668" t="s">
        <v>17</v>
      </c>
    </row>
    <row r="669" spans="1:11" x14ac:dyDescent="0.35">
      <c r="A669" t="s">
        <v>1915</v>
      </c>
      <c r="B669" t="s">
        <v>1916</v>
      </c>
      <c r="C669" t="str">
        <f t="shared" si="15"/>
        <v>Wednesday-06-2024</v>
      </c>
      <c r="D669" t="s">
        <v>1917</v>
      </c>
      <c r="E669" t="s">
        <v>103</v>
      </c>
      <c r="F669" t="s">
        <v>29</v>
      </c>
      <c r="G669" t="s">
        <v>15</v>
      </c>
      <c r="H669" t="s">
        <v>31</v>
      </c>
      <c r="I669" s="3">
        <v>3058</v>
      </c>
      <c r="J669" s="3">
        <v>0</v>
      </c>
      <c r="K669" t="s">
        <v>17</v>
      </c>
    </row>
    <row r="670" spans="1:11" x14ac:dyDescent="0.35">
      <c r="A670" t="s">
        <v>1918</v>
      </c>
      <c r="B670" t="s">
        <v>1919</v>
      </c>
      <c r="C670" t="str">
        <f t="shared" si="15"/>
        <v>05-20-2023</v>
      </c>
      <c r="D670" t="s">
        <v>1920</v>
      </c>
      <c r="E670" t="s">
        <v>269</v>
      </c>
      <c r="F670" t="s">
        <v>22</v>
      </c>
      <c r="G670" t="s">
        <v>15</v>
      </c>
      <c r="H670" t="s">
        <v>16</v>
      </c>
      <c r="I670" s="3">
        <v>749</v>
      </c>
      <c r="J670" s="3">
        <v>74.991</v>
      </c>
      <c r="K670" t="s">
        <v>37</v>
      </c>
    </row>
    <row r="671" spans="1:11" x14ac:dyDescent="0.35">
      <c r="A671" t="s">
        <v>1921</v>
      </c>
      <c r="B671" t="s">
        <v>1922</v>
      </c>
      <c r="C671" t="str">
        <f t="shared" si="15"/>
        <v>Monday-03-2025</v>
      </c>
      <c r="D671" t="s">
        <v>1923</v>
      </c>
      <c r="E671" t="s">
        <v>49</v>
      </c>
      <c r="F671" t="s">
        <v>22</v>
      </c>
      <c r="G671" t="s">
        <v>15</v>
      </c>
      <c r="H671" t="s">
        <v>41</v>
      </c>
      <c r="I671" s="3">
        <v>4625</v>
      </c>
      <c r="J671" s="3">
        <v>0</v>
      </c>
      <c r="K671" t="s">
        <v>17</v>
      </c>
    </row>
    <row r="672" spans="1:11" x14ac:dyDescent="0.35">
      <c r="A672" t="s">
        <v>1924</v>
      </c>
      <c r="B672" t="s">
        <v>1925</v>
      </c>
      <c r="C672" t="str">
        <f t="shared" si="15"/>
        <v>Wednesday-12-2023</v>
      </c>
      <c r="D672" t="s">
        <v>1926</v>
      </c>
      <c r="E672" t="s">
        <v>13</v>
      </c>
      <c r="F672" t="s">
        <v>86</v>
      </c>
      <c r="G672" t="s">
        <v>15</v>
      </c>
      <c r="H672" t="s">
        <v>41</v>
      </c>
      <c r="I672" s="3">
        <v>157</v>
      </c>
      <c r="J672" s="3">
        <v>7.8760000000000003</v>
      </c>
      <c r="K672" t="s">
        <v>37</v>
      </c>
    </row>
    <row r="673" spans="1:11" x14ac:dyDescent="0.35">
      <c r="A673" t="s">
        <v>1927</v>
      </c>
      <c r="B673" t="s">
        <v>1928</v>
      </c>
      <c r="C673" t="str">
        <f t="shared" si="15"/>
        <v>Saturday-05-2023</v>
      </c>
      <c r="D673" t="s">
        <v>1929</v>
      </c>
      <c r="E673" t="s">
        <v>108</v>
      </c>
      <c r="F673" t="s">
        <v>14</v>
      </c>
      <c r="G673" t="s">
        <v>15</v>
      </c>
      <c r="H673" t="s">
        <v>16</v>
      </c>
      <c r="I673" s="3">
        <v>92</v>
      </c>
      <c r="J673" s="3">
        <v>18.54</v>
      </c>
      <c r="K673" t="s">
        <v>17</v>
      </c>
    </row>
    <row r="674" spans="1:11" x14ac:dyDescent="0.35">
      <c r="A674" t="s">
        <v>1930</v>
      </c>
      <c r="B674" t="s">
        <v>1931</v>
      </c>
      <c r="C674" t="str">
        <f t="shared" si="15"/>
        <v>12-27-2024 02:26</v>
      </c>
      <c r="E674" t="s">
        <v>112</v>
      </c>
      <c r="F674" t="s">
        <v>29</v>
      </c>
      <c r="G674" t="s">
        <v>30</v>
      </c>
      <c r="H674" t="s">
        <v>31</v>
      </c>
      <c r="I674" s="3">
        <v>3667</v>
      </c>
      <c r="J674" s="3">
        <v>366.72899999999998</v>
      </c>
      <c r="K674" t="s">
        <v>24</v>
      </c>
    </row>
    <row r="675" spans="1:11" x14ac:dyDescent="0.35">
      <c r="A675" t="s">
        <v>1932</v>
      </c>
      <c r="B675" t="s">
        <v>1919</v>
      </c>
      <c r="C675" t="str">
        <f t="shared" si="15"/>
        <v>05-20-2023</v>
      </c>
      <c r="D675" t="s">
        <v>1933</v>
      </c>
      <c r="E675" t="s">
        <v>35</v>
      </c>
      <c r="F675" t="s">
        <v>29</v>
      </c>
      <c r="G675" t="s">
        <v>15</v>
      </c>
      <c r="H675" t="s">
        <v>31</v>
      </c>
      <c r="I675" s="3">
        <v>4320</v>
      </c>
      <c r="J675" s="3">
        <v>0</v>
      </c>
      <c r="K675" t="s">
        <v>17</v>
      </c>
    </row>
    <row r="676" spans="1:11" x14ac:dyDescent="0.35">
      <c r="A676" t="s">
        <v>1934</v>
      </c>
      <c r="B676" t="s">
        <v>1935</v>
      </c>
      <c r="C676" t="str">
        <f t="shared" si="15"/>
        <v>Wednesday-01-2024</v>
      </c>
      <c r="D676" t="s">
        <v>1936</v>
      </c>
      <c r="E676" t="s">
        <v>112</v>
      </c>
      <c r="F676" t="s">
        <v>22</v>
      </c>
      <c r="G676" t="s">
        <v>30</v>
      </c>
      <c r="H676" t="s">
        <v>41</v>
      </c>
      <c r="I676" s="3">
        <v>2751</v>
      </c>
      <c r="J676" s="3">
        <v>183.4</v>
      </c>
      <c r="K676" t="s">
        <v>37</v>
      </c>
    </row>
    <row r="677" spans="1:11" x14ac:dyDescent="0.35">
      <c r="A677" t="s">
        <v>1937</v>
      </c>
      <c r="C677" t="str">
        <f t="shared" si="15"/>
        <v>Saturday-01-1900</v>
      </c>
      <c r="D677" t="s">
        <v>1938</v>
      </c>
      <c r="E677" t="s">
        <v>112</v>
      </c>
      <c r="F677" t="s">
        <v>36</v>
      </c>
      <c r="G677" t="s">
        <v>23</v>
      </c>
      <c r="H677" t="s">
        <v>31</v>
      </c>
      <c r="I677" s="3">
        <v>766</v>
      </c>
      <c r="J677" s="3">
        <v>38.327500000000001</v>
      </c>
      <c r="K677" t="s">
        <v>37</v>
      </c>
    </row>
    <row r="678" spans="1:11" x14ac:dyDescent="0.35">
      <c r="A678" t="s">
        <v>1939</v>
      </c>
      <c r="B678" t="s">
        <v>1940</v>
      </c>
      <c r="C678" t="str">
        <f t="shared" si="15"/>
        <v xml:space="preserve"> 27-Jun-2024 </v>
      </c>
      <c r="D678" t="s">
        <v>1941</v>
      </c>
      <c r="E678" t="s">
        <v>112</v>
      </c>
      <c r="F678" t="s">
        <v>14</v>
      </c>
      <c r="G678" t="s">
        <v>23</v>
      </c>
      <c r="H678" t="s">
        <v>31</v>
      </c>
      <c r="I678" s="3">
        <v>4805</v>
      </c>
      <c r="J678" s="3">
        <v>240.298</v>
      </c>
      <c r="K678" t="s">
        <v>24</v>
      </c>
    </row>
    <row r="679" spans="1:11" x14ac:dyDescent="0.35">
      <c r="A679" t="s">
        <v>1942</v>
      </c>
      <c r="B679" t="s">
        <v>1943</v>
      </c>
      <c r="C679" t="str">
        <f t="shared" si="15"/>
        <v>Thursday-02-2023</v>
      </c>
      <c r="D679" t="s">
        <v>1944</v>
      </c>
      <c r="E679" t="s">
        <v>35</v>
      </c>
      <c r="F679" t="s">
        <v>29</v>
      </c>
      <c r="G679" t="s">
        <v>15</v>
      </c>
      <c r="H679" t="s">
        <v>16</v>
      </c>
      <c r="I679" s="3">
        <v>4212</v>
      </c>
      <c r="J679" s="3">
        <v>280.81533333333329</v>
      </c>
      <c r="K679" t="s">
        <v>17</v>
      </c>
    </row>
    <row r="680" spans="1:11" x14ac:dyDescent="0.35">
      <c r="A680" t="s">
        <v>1945</v>
      </c>
      <c r="B680" t="s">
        <v>1946</v>
      </c>
      <c r="C680" t="str">
        <f t="shared" si="15"/>
        <v>Wednesday-05-2023</v>
      </c>
      <c r="D680" t="s">
        <v>1947</v>
      </c>
      <c r="E680" t="s">
        <v>53</v>
      </c>
      <c r="F680" t="s">
        <v>86</v>
      </c>
      <c r="G680" t="s">
        <v>23</v>
      </c>
      <c r="H680" t="s">
        <v>16</v>
      </c>
      <c r="I680" s="3">
        <v>4177</v>
      </c>
      <c r="J680" s="3">
        <v>417.77100000000002</v>
      </c>
      <c r="K680" t="s">
        <v>24</v>
      </c>
    </row>
    <row r="681" spans="1:11" x14ac:dyDescent="0.35">
      <c r="A681" t="s">
        <v>1948</v>
      </c>
      <c r="B681" t="s">
        <v>1949</v>
      </c>
      <c r="C681" t="str">
        <f t="shared" si="15"/>
        <v>Wednesday-11-2024</v>
      </c>
      <c r="D681" t="s">
        <v>1950</v>
      </c>
      <c r="E681" t="s">
        <v>28</v>
      </c>
      <c r="F681" t="s">
        <v>14</v>
      </c>
      <c r="G681" t="s">
        <v>30</v>
      </c>
      <c r="H681" t="s">
        <v>16</v>
      </c>
      <c r="I681" s="3">
        <v>458</v>
      </c>
      <c r="J681" s="3">
        <v>91.695999999999998</v>
      </c>
      <c r="K681" t="s">
        <v>24</v>
      </c>
    </row>
    <row r="682" spans="1:11" x14ac:dyDescent="0.35">
      <c r="A682" t="s">
        <v>1951</v>
      </c>
      <c r="B682" t="s">
        <v>1952</v>
      </c>
      <c r="C682" t="str">
        <f t="shared" si="15"/>
        <v>05-23-2023 00:50</v>
      </c>
      <c r="D682" t="s">
        <v>1953</v>
      </c>
      <c r="E682" t="s">
        <v>202</v>
      </c>
      <c r="F682" t="s">
        <v>29</v>
      </c>
      <c r="G682" t="s">
        <v>23</v>
      </c>
      <c r="H682" t="s">
        <v>31</v>
      </c>
      <c r="I682" s="3">
        <v>1211</v>
      </c>
      <c r="J682" s="3">
        <v>80.771333333333331</v>
      </c>
      <c r="K682" t="s">
        <v>24</v>
      </c>
    </row>
    <row r="683" spans="1:11" x14ac:dyDescent="0.35">
      <c r="A683" t="s">
        <v>1954</v>
      </c>
      <c r="B683" t="s">
        <v>1955</v>
      </c>
      <c r="C683" t="str">
        <f t="shared" si="15"/>
        <v>Sunday-07-2024</v>
      </c>
      <c r="E683" t="s">
        <v>13</v>
      </c>
      <c r="F683" t="s">
        <v>22</v>
      </c>
      <c r="G683" t="s">
        <v>30</v>
      </c>
      <c r="H683" t="s">
        <v>31</v>
      </c>
      <c r="I683" s="3">
        <v>3247</v>
      </c>
      <c r="J683" s="3">
        <v>324.70500000000004</v>
      </c>
      <c r="K683" t="s">
        <v>37</v>
      </c>
    </row>
    <row r="684" spans="1:11" x14ac:dyDescent="0.35">
      <c r="A684" t="s">
        <v>1956</v>
      </c>
      <c r="B684" t="s">
        <v>745</v>
      </c>
      <c r="C684" t="str">
        <f t="shared" si="15"/>
        <v>Wednesday-06-2024</v>
      </c>
      <c r="D684" t="s">
        <v>1957</v>
      </c>
      <c r="E684" t="s">
        <v>35</v>
      </c>
      <c r="F684" t="s">
        <v>99</v>
      </c>
      <c r="G684" t="s">
        <v>30</v>
      </c>
      <c r="H684" t="s">
        <v>16</v>
      </c>
      <c r="I684" s="3">
        <v>3444</v>
      </c>
      <c r="J684" s="3">
        <v>688.99</v>
      </c>
      <c r="K684" t="s">
        <v>24</v>
      </c>
    </row>
    <row r="685" spans="1:11" x14ac:dyDescent="0.35">
      <c r="A685" t="s">
        <v>1958</v>
      </c>
      <c r="B685" t="s">
        <v>1959</v>
      </c>
      <c r="C685" t="str">
        <f t="shared" si="15"/>
        <v>Monday-09-2024</v>
      </c>
      <c r="D685" t="s">
        <v>1960</v>
      </c>
      <c r="E685" t="s">
        <v>253</v>
      </c>
      <c r="F685" t="s">
        <v>86</v>
      </c>
      <c r="G685" t="s">
        <v>23</v>
      </c>
      <c r="H685" t="s">
        <v>31</v>
      </c>
      <c r="I685" s="3">
        <v>980</v>
      </c>
      <c r="J685" s="3">
        <v>98.063999999999993</v>
      </c>
      <c r="K685" t="s">
        <v>37</v>
      </c>
    </row>
    <row r="686" spans="1:11" x14ac:dyDescent="0.35">
      <c r="A686" t="s">
        <v>1961</v>
      </c>
      <c r="B686" t="s">
        <v>1962</v>
      </c>
      <c r="C686" t="str">
        <f t="shared" si="15"/>
        <v>Wednesday-10-2023</v>
      </c>
      <c r="D686" t="s">
        <v>1963</v>
      </c>
      <c r="E686" t="s">
        <v>28</v>
      </c>
      <c r="F686" t="s">
        <v>86</v>
      </c>
      <c r="G686" t="s">
        <v>15</v>
      </c>
      <c r="H686" t="s">
        <v>41</v>
      </c>
      <c r="I686" s="3">
        <v>2759</v>
      </c>
      <c r="J686" s="3">
        <v>137.97049999999999</v>
      </c>
      <c r="K686" t="s">
        <v>37</v>
      </c>
    </row>
    <row r="687" spans="1:11" x14ac:dyDescent="0.35">
      <c r="A687" t="s">
        <v>1964</v>
      </c>
      <c r="B687" t="s">
        <v>429</v>
      </c>
      <c r="C687" t="str">
        <f t="shared" si="15"/>
        <v>Wednesday-07-2024</v>
      </c>
      <c r="D687" t="s">
        <v>1965</v>
      </c>
      <c r="E687" t="s">
        <v>112</v>
      </c>
      <c r="F687" t="s">
        <v>14</v>
      </c>
      <c r="G687" t="s">
        <v>30</v>
      </c>
      <c r="H687" t="s">
        <v>16</v>
      </c>
      <c r="I687" s="3">
        <v>3453</v>
      </c>
      <c r="J687" s="3">
        <v>690.62799999999993</v>
      </c>
      <c r="K687" t="s">
        <v>17</v>
      </c>
    </row>
    <row r="688" spans="1:11" x14ac:dyDescent="0.35">
      <c r="A688" t="s">
        <v>1966</v>
      </c>
      <c r="C688" t="str">
        <f t="shared" si="15"/>
        <v>Saturday-01-1900</v>
      </c>
      <c r="D688" t="s">
        <v>1967</v>
      </c>
      <c r="E688" t="s">
        <v>202</v>
      </c>
      <c r="F688" t="s">
        <v>29</v>
      </c>
      <c r="G688" t="s">
        <v>23</v>
      </c>
      <c r="H688" t="s">
        <v>31</v>
      </c>
      <c r="I688" s="3">
        <v>3671</v>
      </c>
      <c r="J688" s="3">
        <v>0</v>
      </c>
      <c r="K688" t="s">
        <v>37</v>
      </c>
    </row>
    <row r="689" spans="1:11" x14ac:dyDescent="0.35">
      <c r="A689" t="s">
        <v>1968</v>
      </c>
      <c r="B689" t="s">
        <v>1969</v>
      </c>
      <c r="C689" t="str">
        <f t="shared" si="15"/>
        <v>Saturday-01-2024</v>
      </c>
      <c r="D689" t="s">
        <v>1970</v>
      </c>
      <c r="E689" t="s">
        <v>103</v>
      </c>
      <c r="F689" t="s">
        <v>14</v>
      </c>
      <c r="G689" t="s">
        <v>23</v>
      </c>
      <c r="H689" t="s">
        <v>41</v>
      </c>
      <c r="I689" s="3">
        <v>272</v>
      </c>
      <c r="J689" s="3">
        <v>18.163333333333334</v>
      </c>
      <c r="K689" t="s">
        <v>37</v>
      </c>
    </row>
    <row r="690" spans="1:11" x14ac:dyDescent="0.35">
      <c r="A690" t="s">
        <v>1971</v>
      </c>
      <c r="B690" t="s">
        <v>1972</v>
      </c>
      <c r="C690" t="str">
        <f t="shared" si="15"/>
        <v>Tuesday-03-2024</v>
      </c>
      <c r="D690" t="s">
        <v>1973</v>
      </c>
      <c r="E690" t="s">
        <v>45</v>
      </c>
      <c r="F690" t="s">
        <v>14</v>
      </c>
      <c r="G690" t="s">
        <v>30</v>
      </c>
      <c r="H690" t="s">
        <v>31</v>
      </c>
      <c r="I690" s="3">
        <v>209</v>
      </c>
      <c r="J690" s="3">
        <v>0</v>
      </c>
      <c r="K690" t="s">
        <v>24</v>
      </c>
    </row>
    <row r="691" spans="1:11" x14ac:dyDescent="0.35">
      <c r="A691" t="s">
        <v>1974</v>
      </c>
      <c r="B691" t="s">
        <v>1975</v>
      </c>
      <c r="C691" t="str">
        <f t="shared" si="15"/>
        <v>Sunday-09-2024</v>
      </c>
      <c r="D691" t="s">
        <v>1976</v>
      </c>
      <c r="E691" t="s">
        <v>375</v>
      </c>
      <c r="F691" t="s">
        <v>99</v>
      </c>
      <c r="G691" t="s">
        <v>30</v>
      </c>
      <c r="H691" t="s">
        <v>41</v>
      </c>
      <c r="I691" s="3">
        <v>4756</v>
      </c>
      <c r="J691" s="3">
        <v>951.37599999999998</v>
      </c>
      <c r="K691" t="s">
        <v>37</v>
      </c>
    </row>
    <row r="692" spans="1:11" x14ac:dyDescent="0.35">
      <c r="A692" t="s">
        <v>1977</v>
      </c>
      <c r="B692" t="s">
        <v>1978</v>
      </c>
      <c r="C692" t="str">
        <f t="shared" si="15"/>
        <v>Saturday-08-2024</v>
      </c>
      <c r="D692" t="s">
        <v>1979</v>
      </c>
      <c r="E692" t="s">
        <v>375</v>
      </c>
      <c r="F692" t="s">
        <v>36</v>
      </c>
      <c r="G692" t="s">
        <v>23</v>
      </c>
      <c r="H692" t="s">
        <v>31</v>
      </c>
      <c r="I692" s="3">
        <v>4169</v>
      </c>
      <c r="J692" s="3">
        <v>277.98599999999999</v>
      </c>
      <c r="K692" t="s">
        <v>37</v>
      </c>
    </row>
    <row r="693" spans="1:11" x14ac:dyDescent="0.35">
      <c r="A693" t="s">
        <v>1980</v>
      </c>
      <c r="B693" t="s">
        <v>1981</v>
      </c>
      <c r="C693" t="str">
        <f t="shared" si="15"/>
        <v>Tuesday-04-2025</v>
      </c>
      <c r="D693" t="s">
        <v>1982</v>
      </c>
      <c r="E693" t="s">
        <v>53</v>
      </c>
      <c r="F693" t="s">
        <v>57</v>
      </c>
      <c r="G693" t="s">
        <v>30</v>
      </c>
      <c r="H693" t="s">
        <v>16</v>
      </c>
      <c r="I693" s="3">
        <v>1936</v>
      </c>
      <c r="J693" s="3">
        <v>193.63200000000001</v>
      </c>
      <c r="K693" t="s">
        <v>24</v>
      </c>
    </row>
    <row r="694" spans="1:11" x14ac:dyDescent="0.35">
      <c r="A694" t="s">
        <v>1983</v>
      </c>
      <c r="B694" t="s">
        <v>1984</v>
      </c>
      <c r="C694" t="str">
        <f t="shared" si="15"/>
        <v>Monday-06-2024</v>
      </c>
      <c r="E694" t="s">
        <v>202</v>
      </c>
      <c r="F694" t="s">
        <v>86</v>
      </c>
      <c r="G694" t="s">
        <v>30</v>
      </c>
      <c r="H694" t="s">
        <v>41</v>
      </c>
      <c r="I694" s="3">
        <v>3931</v>
      </c>
      <c r="J694" s="3">
        <v>786.34399999999994</v>
      </c>
      <c r="K694" t="s">
        <v>37</v>
      </c>
    </row>
    <row r="695" spans="1:11" x14ac:dyDescent="0.35">
      <c r="A695" t="s">
        <v>1985</v>
      </c>
      <c r="B695" t="s">
        <v>1986</v>
      </c>
      <c r="C695" t="str">
        <f t="shared" si="15"/>
        <v>Saturday-10-2024</v>
      </c>
      <c r="D695" t="s">
        <v>1987</v>
      </c>
      <c r="E695" t="s">
        <v>79</v>
      </c>
      <c r="F695" t="s">
        <v>86</v>
      </c>
      <c r="G695" t="s">
        <v>15</v>
      </c>
      <c r="H695" t="s">
        <v>16</v>
      </c>
      <c r="I695" s="3">
        <v>2320</v>
      </c>
      <c r="J695" s="3">
        <v>232.08499999999998</v>
      </c>
      <c r="K695" t="s">
        <v>17</v>
      </c>
    </row>
    <row r="696" spans="1:11" x14ac:dyDescent="0.35">
      <c r="A696" t="s">
        <v>1988</v>
      </c>
      <c r="B696" t="s">
        <v>1989</v>
      </c>
      <c r="C696" t="str">
        <f t="shared" si="15"/>
        <v>Tuesday-05-2023</v>
      </c>
      <c r="D696" t="s">
        <v>1990</v>
      </c>
      <c r="E696" t="s">
        <v>28</v>
      </c>
      <c r="F696" t="s">
        <v>143</v>
      </c>
      <c r="G696" t="s">
        <v>30</v>
      </c>
      <c r="H696" t="s">
        <v>31</v>
      </c>
      <c r="I696" s="3">
        <v>4672</v>
      </c>
      <c r="J696" s="3">
        <v>934.57999999999993</v>
      </c>
      <c r="K696" t="s">
        <v>37</v>
      </c>
    </row>
    <row r="697" spans="1:11" x14ac:dyDescent="0.35">
      <c r="A697" t="s">
        <v>1991</v>
      </c>
      <c r="B697" t="s">
        <v>1992</v>
      </c>
      <c r="C697" t="str">
        <f t="shared" si="15"/>
        <v>07-26-2023 05:34</v>
      </c>
      <c r="D697" t="s">
        <v>414</v>
      </c>
      <c r="E697" t="s">
        <v>13</v>
      </c>
      <c r="F697" t="s">
        <v>86</v>
      </c>
      <c r="G697" t="s">
        <v>30</v>
      </c>
      <c r="H697" t="s">
        <v>16</v>
      </c>
      <c r="I697" s="3">
        <v>2711</v>
      </c>
      <c r="J697" s="3">
        <v>271.154</v>
      </c>
      <c r="K697" t="s">
        <v>37</v>
      </c>
    </row>
    <row r="698" spans="1:11" x14ac:dyDescent="0.35">
      <c r="A698" t="s">
        <v>1993</v>
      </c>
      <c r="B698" t="s">
        <v>1994</v>
      </c>
      <c r="C698" t="str">
        <f t="shared" si="15"/>
        <v>Friday-01-2024</v>
      </c>
      <c r="D698" t="s">
        <v>1995</v>
      </c>
      <c r="E698" t="s">
        <v>28</v>
      </c>
      <c r="F698" t="s">
        <v>29</v>
      </c>
      <c r="G698" t="s">
        <v>30</v>
      </c>
      <c r="H698" t="s">
        <v>16</v>
      </c>
      <c r="I698" s="3">
        <v>4818</v>
      </c>
      <c r="J698" s="3">
        <v>963.67600000000004</v>
      </c>
      <c r="K698" t="s">
        <v>17</v>
      </c>
    </row>
    <row r="699" spans="1:11" x14ac:dyDescent="0.35">
      <c r="A699" t="s">
        <v>1996</v>
      </c>
      <c r="B699" t="s">
        <v>1997</v>
      </c>
      <c r="C699" t="str">
        <f t="shared" si="15"/>
        <v>Friday-05-2023</v>
      </c>
      <c r="E699" t="s">
        <v>13</v>
      </c>
      <c r="F699" t="s">
        <v>22</v>
      </c>
      <c r="G699" t="s">
        <v>30</v>
      </c>
      <c r="H699" t="s">
        <v>41</v>
      </c>
      <c r="I699" s="3">
        <v>2194</v>
      </c>
      <c r="J699" s="3">
        <v>0</v>
      </c>
      <c r="K699" t="s">
        <v>24</v>
      </c>
    </row>
    <row r="700" spans="1:11" x14ac:dyDescent="0.35">
      <c r="A700" t="s">
        <v>1998</v>
      </c>
      <c r="B700" t="s">
        <v>1999</v>
      </c>
      <c r="C700" t="str">
        <f t="shared" si="15"/>
        <v>Sunday-04-2023</v>
      </c>
      <c r="D700" t="s">
        <v>2000</v>
      </c>
      <c r="E700" t="s">
        <v>28</v>
      </c>
      <c r="F700" t="s">
        <v>62</v>
      </c>
      <c r="G700" t="s">
        <v>15</v>
      </c>
      <c r="H700" t="s">
        <v>16</v>
      </c>
      <c r="I700" s="3">
        <v>442</v>
      </c>
      <c r="J700" s="3">
        <v>88.451999999999998</v>
      </c>
      <c r="K700" t="s">
        <v>37</v>
      </c>
    </row>
    <row r="701" spans="1:11" x14ac:dyDescent="0.35">
      <c r="A701" t="s">
        <v>2001</v>
      </c>
      <c r="B701" t="s">
        <v>2002</v>
      </c>
      <c r="C701" t="str">
        <f t="shared" si="15"/>
        <v>12-29-2024</v>
      </c>
      <c r="D701" t="s">
        <v>2003</v>
      </c>
      <c r="E701" t="s">
        <v>49</v>
      </c>
      <c r="F701" t="s">
        <v>36</v>
      </c>
      <c r="G701" t="s">
        <v>23</v>
      </c>
      <c r="H701" t="s">
        <v>16</v>
      </c>
      <c r="I701" s="3">
        <v>3464</v>
      </c>
      <c r="J701" s="3">
        <v>0</v>
      </c>
      <c r="K701" t="s">
        <v>17</v>
      </c>
    </row>
    <row r="702" spans="1:11" x14ac:dyDescent="0.35">
      <c r="A702" t="s">
        <v>2004</v>
      </c>
      <c r="B702" t="s">
        <v>2005</v>
      </c>
      <c r="C702" t="str">
        <f t="shared" si="15"/>
        <v>Saturday-03-2025</v>
      </c>
      <c r="D702" t="s">
        <v>2006</v>
      </c>
      <c r="E702" t="s">
        <v>28</v>
      </c>
      <c r="F702" t="s">
        <v>36</v>
      </c>
      <c r="G702" t="s">
        <v>30</v>
      </c>
      <c r="H702" t="s">
        <v>16</v>
      </c>
      <c r="I702" s="3">
        <v>998</v>
      </c>
      <c r="J702" s="3">
        <v>0</v>
      </c>
      <c r="K702" t="s">
        <v>24</v>
      </c>
    </row>
    <row r="703" spans="1:11" x14ac:dyDescent="0.35">
      <c r="A703" t="s">
        <v>2007</v>
      </c>
      <c r="B703" t="s">
        <v>2008</v>
      </c>
      <c r="C703" t="str">
        <f t="shared" si="15"/>
        <v>Monday-12-2023</v>
      </c>
      <c r="D703" t="s">
        <v>2009</v>
      </c>
      <c r="E703" t="s">
        <v>45</v>
      </c>
      <c r="F703" t="s">
        <v>36</v>
      </c>
      <c r="G703" t="s">
        <v>30</v>
      </c>
      <c r="H703" t="s">
        <v>16</v>
      </c>
      <c r="I703" s="3">
        <v>4049</v>
      </c>
      <c r="J703" s="3">
        <v>0</v>
      </c>
      <c r="K703" t="s">
        <v>17</v>
      </c>
    </row>
    <row r="704" spans="1:11" x14ac:dyDescent="0.35">
      <c r="A704" t="s">
        <v>2010</v>
      </c>
      <c r="B704" t="s">
        <v>2011</v>
      </c>
      <c r="C704" t="str">
        <f t="shared" si="15"/>
        <v>Thursday-03-2023</v>
      </c>
      <c r="D704" t="s">
        <v>2012</v>
      </c>
      <c r="E704" t="s">
        <v>103</v>
      </c>
      <c r="F704" t="s">
        <v>86</v>
      </c>
      <c r="G704" t="s">
        <v>30</v>
      </c>
      <c r="H704" t="s">
        <v>41</v>
      </c>
      <c r="I704" s="3">
        <v>1327</v>
      </c>
      <c r="J704" s="3">
        <v>0</v>
      </c>
      <c r="K704" t="s">
        <v>24</v>
      </c>
    </row>
    <row r="705" spans="1:11" x14ac:dyDescent="0.35">
      <c r="A705" t="s">
        <v>2013</v>
      </c>
      <c r="B705" t="s">
        <v>2014</v>
      </c>
      <c r="C705" t="str">
        <f t="shared" si="15"/>
        <v>Sunday-08-2023</v>
      </c>
      <c r="D705" t="s">
        <v>2015</v>
      </c>
      <c r="E705" t="s">
        <v>45</v>
      </c>
      <c r="F705" t="s">
        <v>86</v>
      </c>
      <c r="G705" t="s">
        <v>23</v>
      </c>
      <c r="H705" t="s">
        <v>41</v>
      </c>
      <c r="I705" s="3">
        <v>363</v>
      </c>
      <c r="J705" s="3">
        <v>72.775999999999996</v>
      </c>
      <c r="K705" t="s">
        <v>37</v>
      </c>
    </row>
    <row r="706" spans="1:11" x14ac:dyDescent="0.35">
      <c r="A706" t="s">
        <v>2016</v>
      </c>
      <c r="B706" t="s">
        <v>2017</v>
      </c>
      <c r="C706" t="str">
        <f t="shared" si="15"/>
        <v xml:space="preserve"> 25-Feb-2025</v>
      </c>
      <c r="D706" t="s">
        <v>2018</v>
      </c>
      <c r="E706" t="s">
        <v>45</v>
      </c>
      <c r="F706" t="s">
        <v>36</v>
      </c>
      <c r="G706" t="s">
        <v>30</v>
      </c>
      <c r="H706" t="s">
        <v>41</v>
      </c>
      <c r="I706" s="3">
        <v>1673</v>
      </c>
      <c r="J706" s="3">
        <v>0</v>
      </c>
      <c r="K706" t="s">
        <v>17</v>
      </c>
    </row>
    <row r="707" spans="1:11" x14ac:dyDescent="0.35">
      <c r="A707" t="s">
        <v>2019</v>
      </c>
      <c r="B707" t="s">
        <v>2020</v>
      </c>
      <c r="C707" t="str">
        <f t="shared" ref="C707:C770" si="16">TEXT(B707,"dddd-mm-yyyy")</f>
        <v>Tuesday-04-2023</v>
      </c>
      <c r="D707" t="s">
        <v>2021</v>
      </c>
      <c r="E707" t="s">
        <v>103</v>
      </c>
      <c r="F707" t="s">
        <v>14</v>
      </c>
      <c r="G707" t="s">
        <v>23</v>
      </c>
      <c r="H707" t="s">
        <v>41</v>
      </c>
      <c r="I707" s="3">
        <v>4568</v>
      </c>
      <c r="J707" s="3">
        <v>0</v>
      </c>
      <c r="K707" t="s">
        <v>37</v>
      </c>
    </row>
    <row r="708" spans="1:11" x14ac:dyDescent="0.35">
      <c r="A708" t="s">
        <v>2022</v>
      </c>
      <c r="B708" t="s">
        <v>2023</v>
      </c>
      <c r="C708" t="str">
        <f t="shared" si="16"/>
        <v>05-14-2023 06:18</v>
      </c>
      <c r="D708" t="s">
        <v>2024</v>
      </c>
      <c r="E708" t="s">
        <v>45</v>
      </c>
      <c r="F708" t="s">
        <v>57</v>
      </c>
      <c r="G708" t="s">
        <v>23</v>
      </c>
      <c r="H708" t="s">
        <v>16</v>
      </c>
      <c r="I708" s="3">
        <v>2132</v>
      </c>
      <c r="J708" s="3">
        <v>0</v>
      </c>
      <c r="K708" t="s">
        <v>24</v>
      </c>
    </row>
    <row r="709" spans="1:11" x14ac:dyDescent="0.35">
      <c r="A709" t="s">
        <v>2025</v>
      </c>
      <c r="B709" t="s">
        <v>2026</v>
      </c>
      <c r="C709" t="str">
        <f t="shared" si="16"/>
        <v>Wednesday-03-2023</v>
      </c>
      <c r="D709" t="s">
        <v>2027</v>
      </c>
      <c r="E709" t="s">
        <v>49</v>
      </c>
      <c r="F709" t="s">
        <v>14</v>
      </c>
      <c r="G709" t="s">
        <v>15</v>
      </c>
      <c r="H709" t="s">
        <v>41</v>
      </c>
      <c r="I709" s="3">
        <v>1225</v>
      </c>
      <c r="J709" s="3">
        <v>0</v>
      </c>
      <c r="K709" t="s">
        <v>24</v>
      </c>
    </row>
    <row r="710" spans="1:11" x14ac:dyDescent="0.35">
      <c r="A710" t="s">
        <v>2028</v>
      </c>
      <c r="B710" t="s">
        <v>2029</v>
      </c>
      <c r="C710" t="str">
        <f t="shared" si="16"/>
        <v>Wednesday-01-2024</v>
      </c>
      <c r="D710" t="s">
        <v>2030</v>
      </c>
      <c r="E710" t="s">
        <v>108</v>
      </c>
      <c r="F710" t="s">
        <v>86</v>
      </c>
      <c r="G710" t="s">
        <v>23</v>
      </c>
      <c r="H710" t="s">
        <v>41</v>
      </c>
      <c r="I710" s="3">
        <v>4685</v>
      </c>
      <c r="J710" s="3">
        <v>468.55200000000002</v>
      </c>
      <c r="K710" t="s">
        <v>24</v>
      </c>
    </row>
    <row r="711" spans="1:11" x14ac:dyDescent="0.35">
      <c r="A711" t="s">
        <v>2031</v>
      </c>
      <c r="B711" t="s">
        <v>2032</v>
      </c>
      <c r="C711" t="str">
        <f t="shared" si="16"/>
        <v>04-23-2023</v>
      </c>
      <c r="D711" t="s">
        <v>2033</v>
      </c>
      <c r="E711" t="s">
        <v>108</v>
      </c>
      <c r="F711" t="s">
        <v>29</v>
      </c>
      <c r="G711" t="s">
        <v>15</v>
      </c>
      <c r="H711" t="s">
        <v>31</v>
      </c>
      <c r="I711" s="3">
        <v>1582</v>
      </c>
      <c r="J711" s="3">
        <v>0</v>
      </c>
      <c r="K711" t="s">
        <v>37</v>
      </c>
    </row>
    <row r="712" spans="1:11" x14ac:dyDescent="0.35">
      <c r="A712" t="s">
        <v>2034</v>
      </c>
      <c r="B712" t="s">
        <v>2035</v>
      </c>
      <c r="C712" t="str">
        <f t="shared" si="16"/>
        <v xml:space="preserve"> 26-Jan-2025</v>
      </c>
      <c r="D712" t="s">
        <v>1126</v>
      </c>
      <c r="E712" t="s">
        <v>103</v>
      </c>
      <c r="F712" t="s">
        <v>36</v>
      </c>
      <c r="G712" t="s">
        <v>15</v>
      </c>
      <c r="H712" t="s">
        <v>31</v>
      </c>
      <c r="I712" s="3">
        <v>2782</v>
      </c>
      <c r="J712" s="3">
        <v>139.126</v>
      </c>
      <c r="K712" t="s">
        <v>17</v>
      </c>
    </row>
    <row r="713" spans="1:11" x14ac:dyDescent="0.35">
      <c r="A713" t="s">
        <v>2036</v>
      </c>
      <c r="B713" t="s">
        <v>674</v>
      </c>
      <c r="C713" t="str">
        <f t="shared" si="16"/>
        <v>Thursday-03-2023</v>
      </c>
      <c r="D713" t="s">
        <v>2037</v>
      </c>
      <c r="E713" t="s">
        <v>202</v>
      </c>
      <c r="F713" t="s">
        <v>22</v>
      </c>
      <c r="G713" t="s">
        <v>30</v>
      </c>
      <c r="H713" t="s">
        <v>16</v>
      </c>
      <c r="I713" s="3">
        <v>4890</v>
      </c>
      <c r="J713" s="3">
        <v>0</v>
      </c>
      <c r="K713" t="s">
        <v>24</v>
      </c>
    </row>
    <row r="714" spans="1:11" x14ac:dyDescent="0.35">
      <c r="A714" t="s">
        <v>2038</v>
      </c>
      <c r="B714" t="s">
        <v>2039</v>
      </c>
      <c r="C714" t="str">
        <f t="shared" si="16"/>
        <v>Wednesday-04-2024</v>
      </c>
      <c r="D714" t="s">
        <v>2040</v>
      </c>
      <c r="E714" t="s">
        <v>112</v>
      </c>
      <c r="F714" t="s">
        <v>36</v>
      </c>
      <c r="G714" t="s">
        <v>15</v>
      </c>
      <c r="H714" t="s">
        <v>16</v>
      </c>
      <c r="I714" s="3">
        <v>4479</v>
      </c>
      <c r="J714" s="3">
        <v>0</v>
      </c>
      <c r="K714" t="s">
        <v>37</v>
      </c>
    </row>
    <row r="715" spans="1:11" x14ac:dyDescent="0.35">
      <c r="A715" t="s">
        <v>2041</v>
      </c>
      <c r="B715" t="s">
        <v>2042</v>
      </c>
      <c r="C715" t="str">
        <f t="shared" si="16"/>
        <v>Tuesday-10-2024</v>
      </c>
      <c r="D715" t="s">
        <v>1650</v>
      </c>
      <c r="E715" t="s">
        <v>28</v>
      </c>
      <c r="F715" t="s">
        <v>14</v>
      </c>
      <c r="G715" t="s">
        <v>15</v>
      </c>
      <c r="H715" t="s">
        <v>41</v>
      </c>
      <c r="I715" s="3">
        <v>1392</v>
      </c>
      <c r="J715" s="3">
        <v>92.853999999999999</v>
      </c>
      <c r="K715" t="s">
        <v>37</v>
      </c>
    </row>
    <row r="716" spans="1:11" x14ac:dyDescent="0.35">
      <c r="A716" t="s">
        <v>2043</v>
      </c>
      <c r="B716" t="s">
        <v>2044</v>
      </c>
      <c r="C716" t="str">
        <f t="shared" si="16"/>
        <v>Thursday-07-2025</v>
      </c>
      <c r="D716" t="s">
        <v>2045</v>
      </c>
      <c r="E716" t="s">
        <v>49</v>
      </c>
      <c r="F716" t="s">
        <v>29</v>
      </c>
      <c r="G716" t="s">
        <v>15</v>
      </c>
      <c r="H716" t="s">
        <v>16</v>
      </c>
      <c r="I716" s="3">
        <v>1145</v>
      </c>
      <c r="J716" s="3">
        <v>76.351333333333329</v>
      </c>
      <c r="K716" t="s">
        <v>37</v>
      </c>
    </row>
    <row r="717" spans="1:11" x14ac:dyDescent="0.35">
      <c r="A717" t="s">
        <v>2046</v>
      </c>
      <c r="B717" t="s">
        <v>1982</v>
      </c>
      <c r="C717" t="str">
        <f t="shared" si="16"/>
        <v>Thursday-09-2025</v>
      </c>
      <c r="D717" t="s">
        <v>2047</v>
      </c>
      <c r="E717" t="s">
        <v>103</v>
      </c>
      <c r="F717" t="s">
        <v>22</v>
      </c>
      <c r="G717" t="s">
        <v>30</v>
      </c>
      <c r="H717" t="s">
        <v>31</v>
      </c>
      <c r="I717" s="3">
        <v>4072</v>
      </c>
      <c r="J717" s="3">
        <v>0</v>
      </c>
      <c r="K717" t="s">
        <v>24</v>
      </c>
    </row>
    <row r="718" spans="1:11" x14ac:dyDescent="0.35">
      <c r="A718" t="s">
        <v>2048</v>
      </c>
      <c r="B718" t="s">
        <v>2049</v>
      </c>
      <c r="C718" t="str">
        <f t="shared" si="16"/>
        <v>06-19-2024</v>
      </c>
      <c r="D718" t="s">
        <v>2050</v>
      </c>
      <c r="E718" t="s">
        <v>112</v>
      </c>
      <c r="F718" t="s">
        <v>36</v>
      </c>
      <c r="G718" t="s">
        <v>23</v>
      </c>
      <c r="H718" t="s">
        <v>16</v>
      </c>
      <c r="I718" s="3">
        <v>883</v>
      </c>
      <c r="J718" s="3">
        <v>44.155999999999999</v>
      </c>
      <c r="K718" t="s">
        <v>37</v>
      </c>
    </row>
    <row r="719" spans="1:11" x14ac:dyDescent="0.35">
      <c r="A719" t="s">
        <v>2051</v>
      </c>
      <c r="B719" t="s">
        <v>2052</v>
      </c>
      <c r="C719" t="str">
        <f t="shared" si="16"/>
        <v>Monday-01-2023</v>
      </c>
      <c r="D719" t="s">
        <v>2053</v>
      </c>
      <c r="E719" t="s">
        <v>13</v>
      </c>
      <c r="F719" t="s">
        <v>22</v>
      </c>
      <c r="G719" t="s">
        <v>15</v>
      </c>
      <c r="H719" t="s">
        <v>31</v>
      </c>
      <c r="I719" s="3">
        <v>570</v>
      </c>
      <c r="J719" s="3">
        <v>0</v>
      </c>
      <c r="K719" t="s">
        <v>24</v>
      </c>
    </row>
    <row r="720" spans="1:11" x14ac:dyDescent="0.35">
      <c r="A720" t="s">
        <v>2054</v>
      </c>
      <c r="B720" t="s">
        <v>2055</v>
      </c>
      <c r="C720" t="str">
        <f t="shared" si="16"/>
        <v xml:space="preserve"> 2025-03-15</v>
      </c>
      <c r="D720" t="s">
        <v>2056</v>
      </c>
      <c r="E720" t="s">
        <v>108</v>
      </c>
      <c r="F720" t="s">
        <v>36</v>
      </c>
      <c r="G720" t="s">
        <v>23</v>
      </c>
      <c r="H720" t="s">
        <v>31</v>
      </c>
      <c r="I720" s="3">
        <v>3505</v>
      </c>
      <c r="J720" s="3">
        <v>350.57399999999996</v>
      </c>
      <c r="K720" t="s">
        <v>17</v>
      </c>
    </row>
    <row r="721" spans="1:11" x14ac:dyDescent="0.35">
      <c r="A721" t="s">
        <v>2057</v>
      </c>
      <c r="B721" t="s">
        <v>2058</v>
      </c>
      <c r="C721" t="str">
        <f t="shared" si="16"/>
        <v>Monday-01-2024</v>
      </c>
      <c r="D721" t="s">
        <v>2059</v>
      </c>
      <c r="E721" t="s">
        <v>202</v>
      </c>
      <c r="F721" t="s">
        <v>86</v>
      </c>
      <c r="G721" t="s">
        <v>30</v>
      </c>
      <c r="H721" t="s">
        <v>41</v>
      </c>
      <c r="I721" s="3">
        <v>2507</v>
      </c>
      <c r="J721" s="3">
        <v>250.72199999999998</v>
      </c>
      <c r="K721" t="s">
        <v>17</v>
      </c>
    </row>
    <row r="722" spans="1:11" x14ac:dyDescent="0.35">
      <c r="A722" t="s">
        <v>2060</v>
      </c>
      <c r="B722" t="s">
        <v>2061</v>
      </c>
      <c r="C722" t="str">
        <f t="shared" si="16"/>
        <v>Tuesday-06-2023</v>
      </c>
      <c r="D722" t="s">
        <v>2062</v>
      </c>
      <c r="E722" t="s">
        <v>103</v>
      </c>
      <c r="F722" t="s">
        <v>14</v>
      </c>
      <c r="G722" t="s">
        <v>30</v>
      </c>
      <c r="H722" t="s">
        <v>41</v>
      </c>
      <c r="I722" s="3">
        <v>4262</v>
      </c>
      <c r="J722" s="3">
        <v>213.131</v>
      </c>
      <c r="K722" t="s">
        <v>17</v>
      </c>
    </row>
    <row r="723" spans="1:11" x14ac:dyDescent="0.35">
      <c r="A723" t="s">
        <v>2063</v>
      </c>
      <c r="B723" t="s">
        <v>2064</v>
      </c>
      <c r="C723" t="str">
        <f t="shared" si="16"/>
        <v>Thursday-05-2024</v>
      </c>
      <c r="D723" t="s">
        <v>2065</v>
      </c>
      <c r="E723" t="s">
        <v>103</v>
      </c>
      <c r="F723" t="s">
        <v>29</v>
      </c>
      <c r="G723" t="s">
        <v>30</v>
      </c>
      <c r="H723" t="s">
        <v>41</v>
      </c>
      <c r="I723" s="3">
        <v>646</v>
      </c>
      <c r="J723" s="3">
        <v>32.335000000000001</v>
      </c>
      <c r="K723" t="s">
        <v>17</v>
      </c>
    </row>
    <row r="724" spans="1:11" x14ac:dyDescent="0.35">
      <c r="A724" t="s">
        <v>2066</v>
      </c>
      <c r="B724" t="s">
        <v>2067</v>
      </c>
      <c r="C724" t="str">
        <f t="shared" si="16"/>
        <v>07-19-2023</v>
      </c>
      <c r="D724" t="s">
        <v>2068</v>
      </c>
      <c r="E724" t="s">
        <v>53</v>
      </c>
      <c r="F724" t="s">
        <v>57</v>
      </c>
      <c r="G724" t="s">
        <v>23</v>
      </c>
      <c r="H724" t="s">
        <v>16</v>
      </c>
      <c r="I724" s="3">
        <v>1711</v>
      </c>
      <c r="J724" s="3">
        <v>171.15</v>
      </c>
      <c r="K724" t="s">
        <v>37</v>
      </c>
    </row>
    <row r="725" spans="1:11" x14ac:dyDescent="0.35">
      <c r="A725" t="s">
        <v>2069</v>
      </c>
      <c r="B725" t="s">
        <v>1081</v>
      </c>
      <c r="C725" t="str">
        <f t="shared" si="16"/>
        <v>11-22-2024</v>
      </c>
      <c r="D725" t="s">
        <v>2070</v>
      </c>
      <c r="E725" t="s">
        <v>35</v>
      </c>
      <c r="F725" t="s">
        <v>86</v>
      </c>
      <c r="G725" t="s">
        <v>15</v>
      </c>
      <c r="H725" t="s">
        <v>31</v>
      </c>
      <c r="I725" s="3">
        <v>652</v>
      </c>
      <c r="J725" s="3">
        <v>130.45999999999998</v>
      </c>
      <c r="K725" t="s">
        <v>24</v>
      </c>
    </row>
    <row r="726" spans="1:11" x14ac:dyDescent="0.35">
      <c r="A726" t="s">
        <v>2071</v>
      </c>
      <c r="B726" t="s">
        <v>2072</v>
      </c>
      <c r="C726" t="str">
        <f t="shared" si="16"/>
        <v>Monday-06-2023</v>
      </c>
      <c r="D726" t="s">
        <v>2073</v>
      </c>
      <c r="E726" t="s">
        <v>61</v>
      </c>
      <c r="F726" t="s">
        <v>86</v>
      </c>
      <c r="G726" t="s">
        <v>23</v>
      </c>
      <c r="H726" t="s">
        <v>16</v>
      </c>
      <c r="I726" s="3">
        <v>863</v>
      </c>
      <c r="J726" s="3">
        <v>86.325000000000003</v>
      </c>
      <c r="K726" t="s">
        <v>37</v>
      </c>
    </row>
    <row r="727" spans="1:11" x14ac:dyDescent="0.35">
      <c r="A727" t="s">
        <v>2074</v>
      </c>
      <c r="B727" t="s">
        <v>2075</v>
      </c>
      <c r="C727" t="str">
        <f t="shared" si="16"/>
        <v>Saturday-12-2023</v>
      </c>
      <c r="D727" t="s">
        <v>2076</v>
      </c>
      <c r="E727" t="s">
        <v>103</v>
      </c>
      <c r="F727" t="s">
        <v>29</v>
      </c>
      <c r="G727" t="s">
        <v>23</v>
      </c>
      <c r="H727" t="s">
        <v>16</v>
      </c>
      <c r="I727" s="3">
        <v>3461</v>
      </c>
      <c r="J727" s="3">
        <v>346.11599999999999</v>
      </c>
      <c r="K727" t="s">
        <v>17</v>
      </c>
    </row>
    <row r="728" spans="1:11" x14ac:dyDescent="0.35">
      <c r="A728" t="s">
        <v>2077</v>
      </c>
      <c r="B728" t="s">
        <v>2078</v>
      </c>
      <c r="C728" t="str">
        <f t="shared" si="16"/>
        <v>Thursday-01-2024</v>
      </c>
      <c r="D728" t="s">
        <v>2079</v>
      </c>
      <c r="E728" t="s">
        <v>269</v>
      </c>
      <c r="F728" t="s">
        <v>22</v>
      </c>
      <c r="G728" t="s">
        <v>30</v>
      </c>
      <c r="H728" t="s">
        <v>41</v>
      </c>
      <c r="I728" s="3">
        <v>3006</v>
      </c>
      <c r="J728" s="3">
        <v>200.42066666666668</v>
      </c>
      <c r="K728" t="s">
        <v>37</v>
      </c>
    </row>
    <row r="729" spans="1:11" x14ac:dyDescent="0.35">
      <c r="A729" t="s">
        <v>2080</v>
      </c>
      <c r="B729" t="s">
        <v>2081</v>
      </c>
      <c r="C729" t="str">
        <f t="shared" si="16"/>
        <v xml:space="preserve"> 05/03/2025 22:15</v>
      </c>
      <c r="D729" t="s">
        <v>2082</v>
      </c>
      <c r="E729" t="s">
        <v>45</v>
      </c>
      <c r="F729" t="s">
        <v>86</v>
      </c>
      <c r="G729" t="s">
        <v>23</v>
      </c>
      <c r="H729" t="s">
        <v>31</v>
      </c>
      <c r="I729" s="3">
        <v>2277</v>
      </c>
      <c r="J729" s="3">
        <v>227.76999999999998</v>
      </c>
      <c r="K729" t="s">
        <v>24</v>
      </c>
    </row>
    <row r="730" spans="1:11" x14ac:dyDescent="0.35">
      <c r="A730" t="s">
        <v>2083</v>
      </c>
      <c r="B730" t="s">
        <v>2084</v>
      </c>
      <c r="C730" t="str">
        <f t="shared" si="16"/>
        <v>Tuesday-02-2025</v>
      </c>
      <c r="D730" t="s">
        <v>2085</v>
      </c>
      <c r="E730" t="s">
        <v>35</v>
      </c>
      <c r="F730" t="s">
        <v>86</v>
      </c>
      <c r="G730" t="s">
        <v>30</v>
      </c>
      <c r="H730" t="s">
        <v>31</v>
      </c>
      <c r="I730" s="3">
        <v>2511</v>
      </c>
      <c r="J730" s="3">
        <v>167.46066666666667</v>
      </c>
      <c r="K730" t="s">
        <v>24</v>
      </c>
    </row>
    <row r="731" spans="1:11" x14ac:dyDescent="0.35">
      <c r="A731" t="s">
        <v>2086</v>
      </c>
      <c r="B731" t="s">
        <v>2087</v>
      </c>
      <c r="C731" t="str">
        <f t="shared" si="16"/>
        <v>Sunday-01-2023</v>
      </c>
      <c r="D731" t="s">
        <v>2088</v>
      </c>
      <c r="E731" t="s">
        <v>45</v>
      </c>
      <c r="F731" t="s">
        <v>29</v>
      </c>
      <c r="G731" t="s">
        <v>23</v>
      </c>
      <c r="H731" t="s">
        <v>41</v>
      </c>
      <c r="I731" s="3">
        <v>4908</v>
      </c>
      <c r="J731" s="3">
        <v>490.81299999999999</v>
      </c>
      <c r="K731" t="s">
        <v>37</v>
      </c>
    </row>
    <row r="732" spans="1:11" x14ac:dyDescent="0.35">
      <c r="A732" t="s">
        <v>2089</v>
      </c>
      <c r="B732" t="s">
        <v>719</v>
      </c>
      <c r="C732" t="str">
        <f t="shared" si="16"/>
        <v>Monday-09-2024</v>
      </c>
      <c r="D732" t="s">
        <v>2090</v>
      </c>
      <c r="E732" t="s">
        <v>108</v>
      </c>
      <c r="F732" t="s">
        <v>29</v>
      </c>
      <c r="G732" t="s">
        <v>15</v>
      </c>
      <c r="H732" t="s">
        <v>31</v>
      </c>
      <c r="I732" s="3">
        <v>3279</v>
      </c>
      <c r="J732" s="3">
        <v>0</v>
      </c>
      <c r="K732" t="s">
        <v>17</v>
      </c>
    </row>
    <row r="733" spans="1:11" x14ac:dyDescent="0.35">
      <c r="A733" t="s">
        <v>2091</v>
      </c>
      <c r="B733" t="s">
        <v>2092</v>
      </c>
      <c r="C733" t="str">
        <f t="shared" si="16"/>
        <v>Wednesday-12-2024</v>
      </c>
      <c r="D733" t="s">
        <v>2093</v>
      </c>
      <c r="E733" t="s">
        <v>13</v>
      </c>
      <c r="F733" t="s">
        <v>29</v>
      </c>
      <c r="G733" t="s">
        <v>30</v>
      </c>
      <c r="H733" t="s">
        <v>16</v>
      </c>
      <c r="I733" s="3">
        <v>235</v>
      </c>
      <c r="J733" s="3">
        <v>23.509999999999998</v>
      </c>
      <c r="K733" t="s">
        <v>17</v>
      </c>
    </row>
    <row r="734" spans="1:11" x14ac:dyDescent="0.35">
      <c r="A734" t="s">
        <v>2094</v>
      </c>
      <c r="B734" t="s">
        <v>2095</v>
      </c>
      <c r="C734" t="str">
        <f t="shared" si="16"/>
        <v>Tuesday-08-2023</v>
      </c>
      <c r="D734" t="s">
        <v>2096</v>
      </c>
      <c r="E734" t="s">
        <v>108</v>
      </c>
      <c r="F734" t="s">
        <v>22</v>
      </c>
      <c r="G734" t="s">
        <v>30</v>
      </c>
      <c r="H734" t="s">
        <v>41</v>
      </c>
      <c r="I734" s="3">
        <v>2091</v>
      </c>
      <c r="J734" s="3">
        <v>104.5515</v>
      </c>
      <c r="K734" t="s">
        <v>37</v>
      </c>
    </row>
    <row r="735" spans="1:11" x14ac:dyDescent="0.35">
      <c r="A735" t="s">
        <v>2097</v>
      </c>
      <c r="B735" t="s">
        <v>2098</v>
      </c>
      <c r="C735" t="str">
        <f t="shared" si="16"/>
        <v>Thursday-07-2024</v>
      </c>
      <c r="D735" t="s">
        <v>1089</v>
      </c>
      <c r="E735" t="s">
        <v>49</v>
      </c>
      <c r="F735" t="s">
        <v>86</v>
      </c>
      <c r="G735" t="s">
        <v>23</v>
      </c>
      <c r="H735" t="s">
        <v>41</v>
      </c>
      <c r="I735" s="3">
        <v>1255</v>
      </c>
      <c r="J735" s="3">
        <v>0</v>
      </c>
      <c r="K735" t="s">
        <v>37</v>
      </c>
    </row>
    <row r="736" spans="1:11" x14ac:dyDescent="0.35">
      <c r="A736" t="s">
        <v>2099</v>
      </c>
      <c r="B736" t="s">
        <v>2100</v>
      </c>
      <c r="C736" t="str">
        <f t="shared" si="16"/>
        <v>02-18-2025</v>
      </c>
      <c r="D736" t="s">
        <v>2101</v>
      </c>
      <c r="E736" t="s">
        <v>13</v>
      </c>
      <c r="F736" t="s">
        <v>22</v>
      </c>
      <c r="G736" t="s">
        <v>15</v>
      </c>
      <c r="H736" t="s">
        <v>16</v>
      </c>
      <c r="I736" s="3">
        <v>4457</v>
      </c>
      <c r="J736" s="3">
        <v>445.70600000000002</v>
      </c>
      <c r="K736" t="s">
        <v>37</v>
      </c>
    </row>
    <row r="737" spans="1:11" x14ac:dyDescent="0.35">
      <c r="A737" t="s">
        <v>2102</v>
      </c>
      <c r="B737" t="s">
        <v>2103</v>
      </c>
      <c r="C737" t="str">
        <f t="shared" si="16"/>
        <v>Wednesday-08-2023</v>
      </c>
      <c r="D737" t="s">
        <v>2104</v>
      </c>
      <c r="E737" t="s">
        <v>79</v>
      </c>
      <c r="F737" t="s">
        <v>36</v>
      </c>
      <c r="G737" t="s">
        <v>23</v>
      </c>
      <c r="H737" t="s">
        <v>41</v>
      </c>
      <c r="I737" s="3">
        <v>1230</v>
      </c>
      <c r="J737" s="3">
        <v>246.01</v>
      </c>
      <c r="K737" t="s">
        <v>17</v>
      </c>
    </row>
    <row r="738" spans="1:11" x14ac:dyDescent="0.35">
      <c r="A738" t="s">
        <v>2105</v>
      </c>
      <c r="B738" t="s">
        <v>2106</v>
      </c>
      <c r="C738" t="str">
        <f t="shared" si="16"/>
        <v>Thursday-01-2024</v>
      </c>
      <c r="D738" t="s">
        <v>2107</v>
      </c>
      <c r="E738" t="s">
        <v>108</v>
      </c>
      <c r="F738" t="s">
        <v>29</v>
      </c>
      <c r="G738" t="s">
        <v>30</v>
      </c>
      <c r="H738" t="s">
        <v>41</v>
      </c>
      <c r="I738" s="3">
        <v>235</v>
      </c>
      <c r="J738" s="3">
        <v>0</v>
      </c>
      <c r="K738" t="s">
        <v>17</v>
      </c>
    </row>
    <row r="739" spans="1:11" x14ac:dyDescent="0.35">
      <c r="A739" t="s">
        <v>2108</v>
      </c>
      <c r="B739" t="s">
        <v>2109</v>
      </c>
      <c r="C739" t="str">
        <f t="shared" si="16"/>
        <v>Saturday-06-2024</v>
      </c>
      <c r="D739" t="s">
        <v>2110</v>
      </c>
      <c r="E739" t="s">
        <v>108</v>
      </c>
      <c r="F739" t="s">
        <v>22</v>
      </c>
      <c r="G739" t="s">
        <v>15</v>
      </c>
      <c r="H739" t="s">
        <v>41</v>
      </c>
      <c r="I739" s="3">
        <v>438</v>
      </c>
      <c r="J739" s="3">
        <v>43.870999999999995</v>
      </c>
      <c r="K739" t="s">
        <v>17</v>
      </c>
    </row>
    <row r="740" spans="1:11" x14ac:dyDescent="0.35">
      <c r="A740" t="s">
        <v>2111</v>
      </c>
      <c r="B740" t="s">
        <v>2112</v>
      </c>
      <c r="C740" t="str">
        <f t="shared" si="16"/>
        <v>Wednesday-11-2024</v>
      </c>
      <c r="D740" t="s">
        <v>2113</v>
      </c>
      <c r="E740" t="s">
        <v>49</v>
      </c>
      <c r="F740" t="s">
        <v>29</v>
      </c>
      <c r="G740" t="s">
        <v>30</v>
      </c>
      <c r="H740" t="s">
        <v>16</v>
      </c>
      <c r="I740" s="3">
        <v>1742</v>
      </c>
      <c r="J740" s="3">
        <v>348.44600000000003</v>
      </c>
      <c r="K740" t="s">
        <v>17</v>
      </c>
    </row>
    <row r="741" spans="1:11" x14ac:dyDescent="0.35">
      <c r="A741" t="s">
        <v>2114</v>
      </c>
      <c r="B741" t="s">
        <v>2115</v>
      </c>
      <c r="C741" t="str">
        <f t="shared" si="16"/>
        <v>11-19-2024</v>
      </c>
      <c r="D741" t="s">
        <v>2116</v>
      </c>
      <c r="E741" t="s">
        <v>108</v>
      </c>
      <c r="F741" t="s">
        <v>86</v>
      </c>
      <c r="G741" t="s">
        <v>30</v>
      </c>
      <c r="H741" t="s">
        <v>41</v>
      </c>
      <c r="I741" s="3">
        <v>3825</v>
      </c>
      <c r="J741" s="3">
        <v>0</v>
      </c>
      <c r="K741" t="s">
        <v>17</v>
      </c>
    </row>
    <row r="742" spans="1:11" x14ac:dyDescent="0.35">
      <c r="A742" t="s">
        <v>2117</v>
      </c>
      <c r="B742" t="s">
        <v>2118</v>
      </c>
      <c r="C742" t="str">
        <f t="shared" si="16"/>
        <v xml:space="preserve"> 15/02/2024</v>
      </c>
      <c r="D742" t="s">
        <v>2119</v>
      </c>
      <c r="E742" t="s">
        <v>49</v>
      </c>
      <c r="F742" t="s">
        <v>62</v>
      </c>
      <c r="G742" t="s">
        <v>30</v>
      </c>
      <c r="H742" t="s">
        <v>31</v>
      </c>
      <c r="I742" s="3">
        <v>1369</v>
      </c>
      <c r="J742" s="3">
        <v>0</v>
      </c>
      <c r="K742" t="s">
        <v>17</v>
      </c>
    </row>
    <row r="743" spans="1:11" x14ac:dyDescent="0.35">
      <c r="A743" t="s">
        <v>2120</v>
      </c>
      <c r="B743" t="s">
        <v>608</v>
      </c>
      <c r="C743" t="str">
        <f t="shared" si="16"/>
        <v>Thursday-06-2024</v>
      </c>
      <c r="D743" t="s">
        <v>2121</v>
      </c>
      <c r="E743" t="s">
        <v>112</v>
      </c>
      <c r="F743" t="s">
        <v>143</v>
      </c>
      <c r="G743" t="s">
        <v>15</v>
      </c>
      <c r="H743" t="s">
        <v>31</v>
      </c>
      <c r="I743" s="3">
        <v>2233</v>
      </c>
      <c r="J743" s="3">
        <v>0</v>
      </c>
      <c r="K743" t="s">
        <v>24</v>
      </c>
    </row>
    <row r="744" spans="1:11" x14ac:dyDescent="0.35">
      <c r="A744" t="s">
        <v>2122</v>
      </c>
      <c r="B744" t="s">
        <v>2123</v>
      </c>
      <c r="C744" t="str">
        <f t="shared" si="16"/>
        <v>Monday-08-2024</v>
      </c>
      <c r="D744" t="s">
        <v>2124</v>
      </c>
      <c r="E744" t="s">
        <v>108</v>
      </c>
      <c r="F744" t="s">
        <v>86</v>
      </c>
      <c r="G744" t="s">
        <v>15</v>
      </c>
      <c r="H744" t="s">
        <v>16</v>
      </c>
      <c r="I744" s="3">
        <v>4146</v>
      </c>
      <c r="J744" s="3">
        <v>0</v>
      </c>
      <c r="K744" t="s">
        <v>37</v>
      </c>
    </row>
    <row r="745" spans="1:11" x14ac:dyDescent="0.35">
      <c r="A745" t="s">
        <v>2125</v>
      </c>
      <c r="B745" t="s">
        <v>2126</v>
      </c>
      <c r="C745" t="str">
        <f t="shared" si="16"/>
        <v>Monday-03-2023</v>
      </c>
      <c r="D745" t="s">
        <v>2127</v>
      </c>
      <c r="E745" t="s">
        <v>253</v>
      </c>
      <c r="F745" t="s">
        <v>86</v>
      </c>
      <c r="G745" t="s">
        <v>23</v>
      </c>
      <c r="H745" t="s">
        <v>41</v>
      </c>
      <c r="I745" s="3">
        <v>3911</v>
      </c>
      <c r="J745" s="3">
        <v>391.12199999999996</v>
      </c>
      <c r="K745" t="s">
        <v>17</v>
      </c>
    </row>
    <row r="746" spans="1:11" x14ac:dyDescent="0.35">
      <c r="A746" t="s">
        <v>2128</v>
      </c>
      <c r="B746" t="s">
        <v>2129</v>
      </c>
      <c r="C746" t="str">
        <f t="shared" si="16"/>
        <v>08-17-2023 08:45</v>
      </c>
      <c r="D746" t="s">
        <v>2130</v>
      </c>
      <c r="E746" t="s">
        <v>112</v>
      </c>
      <c r="F746" t="s">
        <v>86</v>
      </c>
      <c r="G746" t="s">
        <v>15</v>
      </c>
      <c r="H746" t="s">
        <v>16</v>
      </c>
      <c r="I746" s="3">
        <v>3505</v>
      </c>
      <c r="J746" s="3">
        <v>233.66933333333333</v>
      </c>
      <c r="K746" t="s">
        <v>37</v>
      </c>
    </row>
    <row r="747" spans="1:11" x14ac:dyDescent="0.35">
      <c r="A747" t="s">
        <v>2131</v>
      </c>
      <c r="B747" t="s">
        <v>348</v>
      </c>
      <c r="C747" t="str">
        <f t="shared" si="16"/>
        <v>Tuesday-01-2025</v>
      </c>
      <c r="D747" t="s">
        <v>2132</v>
      </c>
      <c r="E747" t="s">
        <v>13</v>
      </c>
      <c r="F747" t="s">
        <v>36</v>
      </c>
      <c r="G747" t="s">
        <v>15</v>
      </c>
      <c r="H747" t="s">
        <v>16</v>
      </c>
      <c r="I747" s="3">
        <v>784</v>
      </c>
      <c r="J747" s="3">
        <v>78.426999999999992</v>
      </c>
      <c r="K747" t="s">
        <v>17</v>
      </c>
    </row>
    <row r="748" spans="1:11" x14ac:dyDescent="0.35">
      <c r="A748" t="s">
        <v>2133</v>
      </c>
      <c r="B748" t="s">
        <v>2134</v>
      </c>
      <c r="C748" t="str">
        <f t="shared" si="16"/>
        <v>Thursday-03-2024</v>
      </c>
      <c r="D748" t="s">
        <v>861</v>
      </c>
      <c r="E748" t="s">
        <v>108</v>
      </c>
      <c r="F748" t="s">
        <v>22</v>
      </c>
      <c r="G748" t="s">
        <v>23</v>
      </c>
      <c r="H748" t="s">
        <v>41</v>
      </c>
      <c r="I748" s="3">
        <v>4748</v>
      </c>
      <c r="J748" s="3">
        <v>316.53466666666668</v>
      </c>
      <c r="K748" t="s">
        <v>37</v>
      </c>
    </row>
    <row r="749" spans="1:11" x14ac:dyDescent="0.35">
      <c r="A749" t="s">
        <v>2135</v>
      </c>
      <c r="B749" t="s">
        <v>2136</v>
      </c>
      <c r="C749" t="str">
        <f t="shared" si="16"/>
        <v>11-26-2023 03:16</v>
      </c>
      <c r="D749" t="s">
        <v>2137</v>
      </c>
      <c r="E749" t="s">
        <v>13</v>
      </c>
      <c r="F749" t="s">
        <v>29</v>
      </c>
      <c r="G749" t="s">
        <v>15</v>
      </c>
      <c r="H749" t="s">
        <v>41</v>
      </c>
      <c r="I749" s="3">
        <v>2114</v>
      </c>
      <c r="J749" s="3">
        <v>0</v>
      </c>
      <c r="K749" t="s">
        <v>37</v>
      </c>
    </row>
    <row r="750" spans="1:11" x14ac:dyDescent="0.35">
      <c r="A750" t="s">
        <v>2138</v>
      </c>
      <c r="B750" t="s">
        <v>2139</v>
      </c>
      <c r="C750" t="str">
        <f t="shared" si="16"/>
        <v xml:space="preserve"> 10-29-2024</v>
      </c>
      <c r="D750" t="s">
        <v>2140</v>
      </c>
      <c r="E750" t="s">
        <v>49</v>
      </c>
      <c r="F750" t="s">
        <v>29</v>
      </c>
      <c r="G750" t="s">
        <v>15</v>
      </c>
      <c r="H750" t="s">
        <v>41</v>
      </c>
      <c r="I750" s="3">
        <v>135</v>
      </c>
      <c r="J750" s="3">
        <v>0</v>
      </c>
      <c r="K750" t="s">
        <v>24</v>
      </c>
    </row>
    <row r="751" spans="1:11" x14ac:dyDescent="0.35">
      <c r="A751" t="s">
        <v>2141</v>
      </c>
      <c r="B751" t="s">
        <v>1588</v>
      </c>
      <c r="C751" t="str">
        <f t="shared" si="16"/>
        <v>Saturday-06-2024</v>
      </c>
      <c r="D751" t="s">
        <v>2142</v>
      </c>
      <c r="E751" t="s">
        <v>375</v>
      </c>
      <c r="F751" t="s">
        <v>14</v>
      </c>
      <c r="G751" t="s">
        <v>15</v>
      </c>
      <c r="H751" t="s">
        <v>41</v>
      </c>
      <c r="I751" s="3">
        <v>376</v>
      </c>
      <c r="J751" s="3">
        <v>25.088666666666665</v>
      </c>
      <c r="K751" t="s">
        <v>17</v>
      </c>
    </row>
    <row r="752" spans="1:11" x14ac:dyDescent="0.35">
      <c r="A752" t="s">
        <v>2143</v>
      </c>
      <c r="B752" t="s">
        <v>2144</v>
      </c>
      <c r="C752" t="str">
        <f t="shared" si="16"/>
        <v>Friday-05-2025</v>
      </c>
      <c r="D752" t="s">
        <v>2145</v>
      </c>
      <c r="E752" t="s">
        <v>375</v>
      </c>
      <c r="F752" t="s">
        <v>86</v>
      </c>
      <c r="G752" t="s">
        <v>30</v>
      </c>
      <c r="H752" t="s">
        <v>41</v>
      </c>
      <c r="I752" s="3">
        <v>2623</v>
      </c>
      <c r="J752" s="3">
        <v>524.64799999999991</v>
      </c>
      <c r="K752" t="s">
        <v>17</v>
      </c>
    </row>
    <row r="753" spans="1:11" x14ac:dyDescent="0.35">
      <c r="A753" t="s">
        <v>2146</v>
      </c>
      <c r="B753" t="s">
        <v>2147</v>
      </c>
      <c r="C753" t="str">
        <f t="shared" si="16"/>
        <v>Friday-09-2024</v>
      </c>
      <c r="D753" t="s">
        <v>2148</v>
      </c>
      <c r="E753" t="s">
        <v>253</v>
      </c>
      <c r="F753" t="s">
        <v>57</v>
      </c>
      <c r="G753" t="s">
        <v>30</v>
      </c>
      <c r="H753" t="s">
        <v>41</v>
      </c>
      <c r="I753" s="3">
        <v>3922</v>
      </c>
      <c r="J753" s="3">
        <v>0</v>
      </c>
      <c r="K753" t="s">
        <v>24</v>
      </c>
    </row>
    <row r="754" spans="1:11" x14ac:dyDescent="0.35">
      <c r="A754" t="s">
        <v>2149</v>
      </c>
      <c r="B754" t="s">
        <v>2150</v>
      </c>
      <c r="C754" t="str">
        <f t="shared" si="16"/>
        <v>01-16-2024</v>
      </c>
      <c r="D754" t="s">
        <v>2151</v>
      </c>
      <c r="E754" t="s">
        <v>28</v>
      </c>
      <c r="F754" t="s">
        <v>29</v>
      </c>
      <c r="G754" t="s">
        <v>15</v>
      </c>
      <c r="H754" t="s">
        <v>31</v>
      </c>
      <c r="I754" s="3">
        <v>376</v>
      </c>
      <c r="J754" s="3">
        <v>18.813499999999998</v>
      </c>
      <c r="K754" t="s">
        <v>17</v>
      </c>
    </row>
    <row r="755" spans="1:11" x14ac:dyDescent="0.35">
      <c r="A755" t="s">
        <v>2152</v>
      </c>
      <c r="B755" t="s">
        <v>2153</v>
      </c>
      <c r="C755" t="str">
        <f t="shared" si="16"/>
        <v>Sunday-03-2024</v>
      </c>
      <c r="D755" t="s">
        <v>2154</v>
      </c>
      <c r="E755" t="s">
        <v>35</v>
      </c>
      <c r="F755" t="s">
        <v>14</v>
      </c>
      <c r="G755" t="s">
        <v>15</v>
      </c>
      <c r="H755" t="s">
        <v>16</v>
      </c>
      <c r="I755" s="3">
        <v>4660</v>
      </c>
      <c r="J755" s="3">
        <v>932.09400000000005</v>
      </c>
      <c r="K755" t="s">
        <v>17</v>
      </c>
    </row>
    <row r="756" spans="1:11" x14ac:dyDescent="0.35">
      <c r="A756" t="s">
        <v>2155</v>
      </c>
      <c r="B756" t="s">
        <v>2156</v>
      </c>
      <c r="C756" t="str">
        <f t="shared" si="16"/>
        <v xml:space="preserve"> 04-22-2024</v>
      </c>
      <c r="D756" t="s">
        <v>2157</v>
      </c>
      <c r="E756" t="s">
        <v>35</v>
      </c>
      <c r="F756" t="s">
        <v>36</v>
      </c>
      <c r="G756" t="s">
        <v>23</v>
      </c>
      <c r="H756" t="s">
        <v>41</v>
      </c>
      <c r="I756" s="3">
        <v>2961</v>
      </c>
      <c r="J756" s="3">
        <v>592.34399999999994</v>
      </c>
      <c r="K756" t="s">
        <v>37</v>
      </c>
    </row>
    <row r="757" spans="1:11" x14ac:dyDescent="0.35">
      <c r="A757" t="s">
        <v>2158</v>
      </c>
      <c r="B757" t="s">
        <v>2159</v>
      </c>
      <c r="C757" t="str">
        <f t="shared" si="16"/>
        <v>Saturday-08-2024</v>
      </c>
      <c r="D757" t="s">
        <v>2160</v>
      </c>
      <c r="E757" t="s">
        <v>112</v>
      </c>
      <c r="F757" t="s">
        <v>29</v>
      </c>
      <c r="G757" t="s">
        <v>15</v>
      </c>
      <c r="H757" t="s">
        <v>41</v>
      </c>
      <c r="I757" s="3">
        <v>650</v>
      </c>
      <c r="J757" s="3">
        <v>32.516500000000001</v>
      </c>
      <c r="K757" t="s">
        <v>17</v>
      </c>
    </row>
    <row r="758" spans="1:11" x14ac:dyDescent="0.35">
      <c r="A758" t="s">
        <v>2161</v>
      </c>
      <c r="B758" t="s">
        <v>2162</v>
      </c>
      <c r="C758" t="str">
        <f t="shared" si="16"/>
        <v>Wednesday-05-2025</v>
      </c>
      <c r="D758" t="s">
        <v>2163</v>
      </c>
      <c r="E758" t="s">
        <v>45</v>
      </c>
      <c r="F758" t="s">
        <v>99</v>
      </c>
      <c r="G758" t="s">
        <v>15</v>
      </c>
      <c r="H758" t="s">
        <v>31</v>
      </c>
      <c r="I758" s="3">
        <v>1975</v>
      </c>
      <c r="J758" s="3">
        <v>197.53800000000001</v>
      </c>
      <c r="K758" t="s">
        <v>37</v>
      </c>
    </row>
    <row r="759" spans="1:11" x14ac:dyDescent="0.35">
      <c r="A759" t="s">
        <v>2164</v>
      </c>
      <c r="B759" t="s">
        <v>2165</v>
      </c>
      <c r="C759" t="str">
        <f t="shared" si="16"/>
        <v>Monday-06-2025</v>
      </c>
      <c r="D759" t="s">
        <v>2166</v>
      </c>
      <c r="E759" t="s">
        <v>53</v>
      </c>
      <c r="F759" t="s">
        <v>99</v>
      </c>
      <c r="G759" t="s">
        <v>15</v>
      </c>
      <c r="H759" t="s">
        <v>41</v>
      </c>
      <c r="I759" s="3">
        <v>2095</v>
      </c>
      <c r="J759" s="3">
        <v>0</v>
      </c>
      <c r="K759" t="s">
        <v>24</v>
      </c>
    </row>
    <row r="760" spans="1:11" x14ac:dyDescent="0.35">
      <c r="A760" t="s">
        <v>2167</v>
      </c>
      <c r="B760" t="s">
        <v>2168</v>
      </c>
      <c r="C760" t="str">
        <f t="shared" si="16"/>
        <v>Tuesday-01-2025</v>
      </c>
      <c r="D760" t="s">
        <v>2169</v>
      </c>
      <c r="E760" t="s">
        <v>35</v>
      </c>
      <c r="F760" t="s">
        <v>86</v>
      </c>
      <c r="G760" t="s">
        <v>15</v>
      </c>
      <c r="H760" t="s">
        <v>41</v>
      </c>
      <c r="I760" s="3">
        <v>3764</v>
      </c>
      <c r="J760" s="3">
        <v>188.20250000000001</v>
      </c>
      <c r="K760" t="s">
        <v>24</v>
      </c>
    </row>
    <row r="761" spans="1:11" x14ac:dyDescent="0.35">
      <c r="A761" t="s">
        <v>2170</v>
      </c>
      <c r="B761" t="s">
        <v>305</v>
      </c>
      <c r="C761" t="str">
        <f t="shared" si="16"/>
        <v>Saturday-08-2023</v>
      </c>
      <c r="E761" t="s">
        <v>35</v>
      </c>
      <c r="F761" t="s">
        <v>14</v>
      </c>
      <c r="G761" t="s">
        <v>23</v>
      </c>
      <c r="H761" t="s">
        <v>16</v>
      </c>
      <c r="I761" s="3">
        <v>306</v>
      </c>
      <c r="J761" s="3">
        <v>61.248000000000005</v>
      </c>
      <c r="K761" t="s">
        <v>17</v>
      </c>
    </row>
    <row r="762" spans="1:11" x14ac:dyDescent="0.35">
      <c r="A762" t="s">
        <v>2171</v>
      </c>
      <c r="B762" t="s">
        <v>901</v>
      </c>
      <c r="C762" t="str">
        <f t="shared" si="16"/>
        <v>Sunday-09-2024</v>
      </c>
      <c r="E762" t="s">
        <v>108</v>
      </c>
      <c r="F762" t="s">
        <v>66</v>
      </c>
      <c r="G762" t="s">
        <v>30</v>
      </c>
      <c r="H762" t="s">
        <v>31</v>
      </c>
      <c r="I762" s="3">
        <v>812</v>
      </c>
      <c r="J762" s="3">
        <v>162.464</v>
      </c>
      <c r="K762" t="s">
        <v>37</v>
      </c>
    </row>
    <row r="763" spans="1:11" x14ac:dyDescent="0.35">
      <c r="A763" t="s">
        <v>2172</v>
      </c>
      <c r="B763" t="s">
        <v>2173</v>
      </c>
      <c r="C763" t="str">
        <f t="shared" si="16"/>
        <v xml:space="preserve">05-24-2024 </v>
      </c>
      <c r="D763" t="s">
        <v>2174</v>
      </c>
      <c r="E763" t="s">
        <v>45</v>
      </c>
      <c r="F763" t="s">
        <v>14</v>
      </c>
      <c r="G763" t="s">
        <v>15</v>
      </c>
      <c r="H763" t="s">
        <v>31</v>
      </c>
      <c r="I763" s="3">
        <v>2292</v>
      </c>
      <c r="J763" s="3">
        <v>229.23899999999998</v>
      </c>
      <c r="K763" t="s">
        <v>24</v>
      </c>
    </row>
    <row r="764" spans="1:11" x14ac:dyDescent="0.35">
      <c r="A764" t="s">
        <v>2175</v>
      </c>
      <c r="B764" t="s">
        <v>2176</v>
      </c>
      <c r="C764" t="str">
        <f t="shared" si="16"/>
        <v>Thursday-03-2024</v>
      </c>
      <c r="D764" t="s">
        <v>1973</v>
      </c>
      <c r="E764" t="s">
        <v>103</v>
      </c>
      <c r="F764" t="s">
        <v>22</v>
      </c>
      <c r="G764" t="s">
        <v>23</v>
      </c>
      <c r="H764" t="s">
        <v>31</v>
      </c>
      <c r="I764" s="3">
        <v>1189</v>
      </c>
      <c r="J764" s="3">
        <v>237.84399999999999</v>
      </c>
      <c r="K764" t="s">
        <v>24</v>
      </c>
    </row>
    <row r="765" spans="1:11" x14ac:dyDescent="0.35">
      <c r="A765" t="s">
        <v>2177</v>
      </c>
      <c r="B765" t="s">
        <v>2178</v>
      </c>
      <c r="C765" t="str">
        <f t="shared" si="16"/>
        <v>Monday-01-2024</v>
      </c>
      <c r="D765" t="s">
        <v>2179</v>
      </c>
      <c r="E765" t="s">
        <v>45</v>
      </c>
      <c r="F765" t="s">
        <v>22</v>
      </c>
      <c r="G765" t="s">
        <v>30</v>
      </c>
      <c r="H765" t="s">
        <v>16</v>
      </c>
      <c r="I765" s="3">
        <v>2615</v>
      </c>
      <c r="J765" s="3">
        <v>130.7775</v>
      </c>
      <c r="K765" t="s">
        <v>17</v>
      </c>
    </row>
    <row r="766" spans="1:11" x14ac:dyDescent="0.35">
      <c r="A766" t="s">
        <v>2180</v>
      </c>
      <c r="B766" t="s">
        <v>2181</v>
      </c>
      <c r="C766" t="str">
        <f t="shared" si="16"/>
        <v>Friday-04-2023</v>
      </c>
      <c r="D766" t="s">
        <v>2182</v>
      </c>
      <c r="E766" t="s">
        <v>112</v>
      </c>
      <c r="F766" t="s">
        <v>22</v>
      </c>
      <c r="G766" t="s">
        <v>30</v>
      </c>
      <c r="H766" t="s">
        <v>16</v>
      </c>
      <c r="I766" s="3">
        <v>2253</v>
      </c>
      <c r="J766" s="3">
        <v>150.226</v>
      </c>
      <c r="K766" t="s">
        <v>37</v>
      </c>
    </row>
    <row r="767" spans="1:11" x14ac:dyDescent="0.35">
      <c r="A767" t="s">
        <v>2183</v>
      </c>
      <c r="B767" t="s">
        <v>2184</v>
      </c>
      <c r="C767" t="str">
        <f t="shared" si="16"/>
        <v>Friday-09-2023</v>
      </c>
      <c r="D767" t="s">
        <v>2185</v>
      </c>
      <c r="E767" t="s">
        <v>108</v>
      </c>
      <c r="F767" t="s">
        <v>29</v>
      </c>
      <c r="G767" t="s">
        <v>15</v>
      </c>
      <c r="H767" t="s">
        <v>41</v>
      </c>
      <c r="I767" s="3">
        <v>323</v>
      </c>
      <c r="J767" s="3">
        <v>64.753999999999991</v>
      </c>
      <c r="K767" t="s">
        <v>24</v>
      </c>
    </row>
    <row r="768" spans="1:11" x14ac:dyDescent="0.35">
      <c r="A768" t="s">
        <v>2186</v>
      </c>
      <c r="B768" t="s">
        <v>2187</v>
      </c>
      <c r="C768" t="str">
        <f t="shared" si="16"/>
        <v>Wednesday-05-2023</v>
      </c>
      <c r="D768" t="s">
        <v>2188</v>
      </c>
      <c r="E768" t="s">
        <v>49</v>
      </c>
      <c r="F768" t="s">
        <v>62</v>
      </c>
      <c r="G768" t="s">
        <v>15</v>
      </c>
      <c r="H768" t="s">
        <v>41</v>
      </c>
      <c r="I768" s="3">
        <v>4548</v>
      </c>
      <c r="J768" s="3">
        <v>909.71399999999994</v>
      </c>
      <c r="K768" t="s">
        <v>24</v>
      </c>
    </row>
    <row r="769" spans="1:11" x14ac:dyDescent="0.35">
      <c r="A769" t="s">
        <v>2189</v>
      </c>
      <c r="B769" t="s">
        <v>2190</v>
      </c>
      <c r="C769" t="str">
        <f t="shared" si="16"/>
        <v>04-30-2024</v>
      </c>
      <c r="D769" t="s">
        <v>2191</v>
      </c>
      <c r="E769" t="s">
        <v>79</v>
      </c>
      <c r="F769" t="s">
        <v>29</v>
      </c>
      <c r="G769" t="s">
        <v>15</v>
      </c>
      <c r="H769" t="s">
        <v>31</v>
      </c>
      <c r="I769" s="3">
        <v>3642</v>
      </c>
      <c r="J769" s="3">
        <v>0</v>
      </c>
      <c r="K769" t="s">
        <v>24</v>
      </c>
    </row>
    <row r="770" spans="1:11" x14ac:dyDescent="0.35">
      <c r="A770" t="s">
        <v>2192</v>
      </c>
      <c r="B770" t="s">
        <v>2193</v>
      </c>
      <c r="C770" t="str">
        <f t="shared" si="16"/>
        <v>11-15-2024</v>
      </c>
      <c r="D770" t="s">
        <v>2194</v>
      </c>
      <c r="E770" t="s">
        <v>49</v>
      </c>
      <c r="F770" t="s">
        <v>22</v>
      </c>
      <c r="G770" t="s">
        <v>15</v>
      </c>
      <c r="H770" t="s">
        <v>41</v>
      </c>
      <c r="I770" s="3">
        <v>456</v>
      </c>
      <c r="J770" s="3">
        <v>30.409333333333333</v>
      </c>
      <c r="K770" t="s">
        <v>17</v>
      </c>
    </row>
    <row r="771" spans="1:11" x14ac:dyDescent="0.35">
      <c r="A771" t="s">
        <v>2195</v>
      </c>
      <c r="B771" t="s">
        <v>2196</v>
      </c>
      <c r="C771" t="str">
        <f t="shared" ref="C771:C834" si="17">TEXT(B771,"dddd-mm-yyyy")</f>
        <v>Wednesday-02-2025</v>
      </c>
      <c r="D771" t="s">
        <v>2197</v>
      </c>
      <c r="E771" t="s">
        <v>13</v>
      </c>
      <c r="F771" t="s">
        <v>143</v>
      </c>
      <c r="G771" t="s">
        <v>15</v>
      </c>
      <c r="H771" t="s">
        <v>31</v>
      </c>
      <c r="I771" s="3">
        <v>1417</v>
      </c>
      <c r="J771" s="3">
        <v>0</v>
      </c>
      <c r="K771" t="s">
        <v>24</v>
      </c>
    </row>
    <row r="772" spans="1:11" x14ac:dyDescent="0.35">
      <c r="A772" t="s">
        <v>2198</v>
      </c>
      <c r="B772" t="s">
        <v>2199</v>
      </c>
      <c r="C772" t="str">
        <f t="shared" si="17"/>
        <v>Tuesday-05-2023</v>
      </c>
      <c r="D772" t="s">
        <v>2200</v>
      </c>
      <c r="E772" t="s">
        <v>13</v>
      </c>
      <c r="F772" t="s">
        <v>29</v>
      </c>
      <c r="G772" t="s">
        <v>30</v>
      </c>
      <c r="H772" t="s">
        <v>41</v>
      </c>
      <c r="I772" s="3">
        <v>2051</v>
      </c>
      <c r="J772" s="3">
        <v>102.58250000000001</v>
      </c>
      <c r="K772" t="s">
        <v>24</v>
      </c>
    </row>
    <row r="773" spans="1:11" x14ac:dyDescent="0.35">
      <c r="A773" t="s">
        <v>2201</v>
      </c>
      <c r="B773" t="s">
        <v>804</v>
      </c>
      <c r="C773" t="str">
        <f t="shared" si="17"/>
        <v>Tuesday-05-2023</v>
      </c>
      <c r="E773" t="s">
        <v>79</v>
      </c>
      <c r="F773" t="s">
        <v>86</v>
      </c>
      <c r="G773" t="s">
        <v>15</v>
      </c>
      <c r="H773" t="s">
        <v>31</v>
      </c>
      <c r="I773" s="3">
        <v>214</v>
      </c>
      <c r="J773" s="3">
        <v>0</v>
      </c>
      <c r="K773" t="s">
        <v>37</v>
      </c>
    </row>
    <row r="774" spans="1:11" x14ac:dyDescent="0.35">
      <c r="A774" t="s">
        <v>2202</v>
      </c>
      <c r="B774" t="s">
        <v>2203</v>
      </c>
      <c r="C774" t="str">
        <f t="shared" si="17"/>
        <v xml:space="preserve"> 14-Aug-2024</v>
      </c>
      <c r="D774" t="s">
        <v>712</v>
      </c>
      <c r="E774" t="s">
        <v>103</v>
      </c>
      <c r="F774" t="s">
        <v>22</v>
      </c>
      <c r="G774" t="s">
        <v>30</v>
      </c>
      <c r="H774" t="s">
        <v>16</v>
      </c>
      <c r="I774" s="3">
        <v>2370</v>
      </c>
      <c r="J774" s="3">
        <v>0</v>
      </c>
      <c r="K774" t="s">
        <v>17</v>
      </c>
    </row>
    <row r="775" spans="1:11" x14ac:dyDescent="0.35">
      <c r="A775" t="s">
        <v>2204</v>
      </c>
      <c r="B775" t="s">
        <v>1684</v>
      </c>
      <c r="C775" t="str">
        <f t="shared" si="17"/>
        <v>Monday-03-2025</v>
      </c>
      <c r="D775" t="s">
        <v>2205</v>
      </c>
      <c r="E775" t="s">
        <v>103</v>
      </c>
      <c r="F775" t="s">
        <v>14</v>
      </c>
      <c r="G775" t="s">
        <v>23</v>
      </c>
      <c r="H775" t="s">
        <v>31</v>
      </c>
      <c r="I775" s="3">
        <v>157</v>
      </c>
      <c r="J775" s="3">
        <v>15.766</v>
      </c>
      <c r="K775" t="s">
        <v>24</v>
      </c>
    </row>
    <row r="776" spans="1:11" x14ac:dyDescent="0.35">
      <c r="A776" t="s">
        <v>2206</v>
      </c>
      <c r="B776" t="s">
        <v>2207</v>
      </c>
      <c r="C776" t="str">
        <f t="shared" si="17"/>
        <v>Sunday-11-2024</v>
      </c>
      <c r="D776" t="s">
        <v>2208</v>
      </c>
      <c r="E776" t="s">
        <v>45</v>
      </c>
      <c r="F776" t="s">
        <v>99</v>
      </c>
      <c r="G776" t="s">
        <v>23</v>
      </c>
      <c r="H776" t="s">
        <v>31</v>
      </c>
      <c r="I776" s="3">
        <v>4799</v>
      </c>
      <c r="J776" s="3">
        <v>479.9</v>
      </c>
      <c r="K776" t="s">
        <v>37</v>
      </c>
    </row>
    <row r="777" spans="1:11" x14ac:dyDescent="0.35">
      <c r="A777" t="s">
        <v>2209</v>
      </c>
      <c r="B777" t="s">
        <v>2210</v>
      </c>
      <c r="C777" t="str">
        <f t="shared" si="17"/>
        <v>Monday-10-2023</v>
      </c>
      <c r="D777" t="s">
        <v>2211</v>
      </c>
      <c r="E777" t="s">
        <v>202</v>
      </c>
      <c r="F777" t="s">
        <v>143</v>
      </c>
      <c r="G777" t="s">
        <v>23</v>
      </c>
      <c r="H777" t="s">
        <v>41</v>
      </c>
      <c r="I777" s="3">
        <v>1148</v>
      </c>
      <c r="J777" s="3">
        <v>229.62399999999997</v>
      </c>
      <c r="K777" t="s">
        <v>37</v>
      </c>
    </row>
    <row r="778" spans="1:11" x14ac:dyDescent="0.35">
      <c r="A778" t="s">
        <v>2212</v>
      </c>
      <c r="B778" t="s">
        <v>2213</v>
      </c>
      <c r="C778" t="str">
        <f t="shared" si="17"/>
        <v>Sunday-04-2025</v>
      </c>
      <c r="D778" t="s">
        <v>2214</v>
      </c>
      <c r="E778" t="s">
        <v>253</v>
      </c>
      <c r="F778" t="s">
        <v>14</v>
      </c>
      <c r="G778" t="s">
        <v>30</v>
      </c>
      <c r="H778" t="s">
        <v>16</v>
      </c>
      <c r="I778" s="3">
        <v>1406</v>
      </c>
      <c r="J778" s="3">
        <v>281.31799999999998</v>
      </c>
      <c r="K778" t="s">
        <v>37</v>
      </c>
    </row>
    <row r="779" spans="1:11" x14ac:dyDescent="0.35">
      <c r="A779" t="s">
        <v>2215</v>
      </c>
      <c r="B779" t="s">
        <v>2216</v>
      </c>
      <c r="C779" t="str">
        <f t="shared" si="17"/>
        <v>Saturday-06-2024</v>
      </c>
      <c r="D779" t="s">
        <v>740</v>
      </c>
      <c r="E779" t="s">
        <v>13</v>
      </c>
      <c r="F779" t="s">
        <v>36</v>
      </c>
      <c r="G779" t="s">
        <v>30</v>
      </c>
      <c r="H779" t="s">
        <v>31</v>
      </c>
      <c r="I779" s="3">
        <v>4640</v>
      </c>
      <c r="J779" s="3">
        <v>928.00800000000004</v>
      </c>
      <c r="K779" t="s">
        <v>17</v>
      </c>
    </row>
    <row r="780" spans="1:11" x14ac:dyDescent="0.35">
      <c r="A780" t="s">
        <v>2217</v>
      </c>
      <c r="B780" t="s">
        <v>2218</v>
      </c>
      <c r="C780" t="str">
        <f t="shared" si="17"/>
        <v>Wednesday-07-2023</v>
      </c>
      <c r="D780" t="s">
        <v>2219</v>
      </c>
      <c r="E780" t="s">
        <v>253</v>
      </c>
      <c r="F780" t="s">
        <v>22</v>
      </c>
      <c r="G780" t="s">
        <v>15</v>
      </c>
      <c r="H780" t="s">
        <v>16</v>
      </c>
      <c r="I780" s="3">
        <v>4114</v>
      </c>
      <c r="J780" s="3">
        <v>411.46400000000006</v>
      </c>
      <c r="K780" t="s">
        <v>17</v>
      </c>
    </row>
    <row r="781" spans="1:11" x14ac:dyDescent="0.35">
      <c r="A781" t="s">
        <v>2220</v>
      </c>
      <c r="B781" t="s">
        <v>2221</v>
      </c>
      <c r="C781" t="str">
        <f t="shared" si="17"/>
        <v>Wednesday-04-2024</v>
      </c>
      <c r="D781" t="s">
        <v>2222</v>
      </c>
      <c r="E781" t="s">
        <v>49</v>
      </c>
      <c r="F781" t="s">
        <v>36</v>
      </c>
      <c r="G781" t="s">
        <v>23</v>
      </c>
      <c r="H781" t="s">
        <v>41</v>
      </c>
      <c r="I781" s="3">
        <v>4384</v>
      </c>
      <c r="J781" s="3">
        <v>876.82</v>
      </c>
      <c r="K781" t="s">
        <v>24</v>
      </c>
    </row>
    <row r="782" spans="1:11" x14ac:dyDescent="0.35">
      <c r="A782" t="s">
        <v>2223</v>
      </c>
      <c r="C782" t="str">
        <f t="shared" si="17"/>
        <v>Saturday-01-1900</v>
      </c>
      <c r="D782" t="s">
        <v>2224</v>
      </c>
      <c r="E782" t="s">
        <v>112</v>
      </c>
      <c r="F782" t="s">
        <v>86</v>
      </c>
      <c r="G782" t="s">
        <v>30</v>
      </c>
      <c r="H782" t="s">
        <v>16</v>
      </c>
      <c r="I782" s="3">
        <v>3752</v>
      </c>
      <c r="J782" s="3">
        <v>0</v>
      </c>
      <c r="K782" t="s">
        <v>24</v>
      </c>
    </row>
    <row r="783" spans="1:11" x14ac:dyDescent="0.35">
      <c r="A783" t="s">
        <v>2225</v>
      </c>
      <c r="B783" t="s">
        <v>2226</v>
      </c>
      <c r="C783" t="str">
        <f t="shared" si="17"/>
        <v>Monday-05-2024</v>
      </c>
      <c r="D783" t="s">
        <v>2227</v>
      </c>
      <c r="E783" t="s">
        <v>269</v>
      </c>
      <c r="F783" t="s">
        <v>66</v>
      </c>
      <c r="G783" t="s">
        <v>15</v>
      </c>
      <c r="H783" t="s">
        <v>16</v>
      </c>
      <c r="I783" s="3">
        <v>4282</v>
      </c>
      <c r="J783" s="3">
        <v>214.10050000000001</v>
      </c>
      <c r="K783" t="s">
        <v>17</v>
      </c>
    </row>
    <row r="784" spans="1:11" x14ac:dyDescent="0.35">
      <c r="A784" t="s">
        <v>2228</v>
      </c>
      <c r="B784" t="s">
        <v>2229</v>
      </c>
      <c r="C784" t="str">
        <f t="shared" si="17"/>
        <v>Wednesday-09-2024</v>
      </c>
      <c r="D784" t="s">
        <v>2230</v>
      </c>
      <c r="E784" t="s">
        <v>112</v>
      </c>
      <c r="F784" t="s">
        <v>29</v>
      </c>
      <c r="G784" t="s">
        <v>30</v>
      </c>
      <c r="H784" t="s">
        <v>41</v>
      </c>
      <c r="I784" s="3">
        <v>1207</v>
      </c>
      <c r="J784" s="3">
        <v>120.761</v>
      </c>
      <c r="K784" t="s">
        <v>37</v>
      </c>
    </row>
    <row r="785" spans="1:11" x14ac:dyDescent="0.35">
      <c r="A785" t="s">
        <v>2231</v>
      </c>
      <c r="B785" t="s">
        <v>2232</v>
      </c>
      <c r="C785" t="str">
        <f t="shared" si="17"/>
        <v xml:space="preserve"> 2025-06-07</v>
      </c>
      <c r="D785" t="s">
        <v>2233</v>
      </c>
      <c r="E785" t="s">
        <v>49</v>
      </c>
      <c r="F785" t="s">
        <v>36</v>
      </c>
      <c r="G785" t="s">
        <v>30</v>
      </c>
      <c r="H785" t="s">
        <v>31</v>
      </c>
      <c r="I785" s="3">
        <v>344</v>
      </c>
      <c r="J785" s="3">
        <v>68.962000000000003</v>
      </c>
      <c r="K785" t="s">
        <v>37</v>
      </c>
    </row>
    <row r="786" spans="1:11" x14ac:dyDescent="0.35">
      <c r="A786" t="s">
        <v>2234</v>
      </c>
      <c r="B786" t="s">
        <v>2235</v>
      </c>
      <c r="C786" t="str">
        <f t="shared" si="17"/>
        <v>Friday-01-2023</v>
      </c>
      <c r="D786" t="s">
        <v>2236</v>
      </c>
      <c r="E786" t="s">
        <v>79</v>
      </c>
      <c r="F786" t="s">
        <v>66</v>
      </c>
      <c r="G786" t="s">
        <v>15</v>
      </c>
      <c r="H786" t="s">
        <v>41</v>
      </c>
      <c r="I786" s="3">
        <v>4513</v>
      </c>
      <c r="J786" s="3">
        <v>902.77199999999993</v>
      </c>
      <c r="K786" t="s">
        <v>24</v>
      </c>
    </row>
    <row r="787" spans="1:11" x14ac:dyDescent="0.35">
      <c r="A787" t="s">
        <v>2237</v>
      </c>
      <c r="B787" t="s">
        <v>2238</v>
      </c>
      <c r="C787" t="str">
        <f t="shared" si="17"/>
        <v>Saturday-10-2023</v>
      </c>
      <c r="D787" t="s">
        <v>2239</v>
      </c>
      <c r="E787" t="s">
        <v>103</v>
      </c>
      <c r="F787" t="s">
        <v>14</v>
      </c>
      <c r="G787" t="s">
        <v>30</v>
      </c>
      <c r="H787" t="s">
        <v>31</v>
      </c>
      <c r="I787" s="3">
        <v>1093</v>
      </c>
      <c r="J787" s="3">
        <v>218.71199999999999</v>
      </c>
      <c r="K787" t="s">
        <v>37</v>
      </c>
    </row>
    <row r="788" spans="1:11" x14ac:dyDescent="0.35">
      <c r="A788" t="s">
        <v>2240</v>
      </c>
      <c r="B788" t="s">
        <v>2241</v>
      </c>
      <c r="C788" t="str">
        <f t="shared" si="17"/>
        <v>07-30-2024 01:59</v>
      </c>
      <c r="D788" t="s">
        <v>2242</v>
      </c>
      <c r="E788" t="s">
        <v>35</v>
      </c>
      <c r="F788" t="s">
        <v>29</v>
      </c>
      <c r="G788" t="s">
        <v>30</v>
      </c>
      <c r="H788" t="s">
        <v>31</v>
      </c>
      <c r="I788" s="3">
        <v>193</v>
      </c>
      <c r="J788" s="3">
        <v>0</v>
      </c>
      <c r="K788" t="s">
        <v>37</v>
      </c>
    </row>
    <row r="789" spans="1:11" x14ac:dyDescent="0.35">
      <c r="A789" t="s">
        <v>2243</v>
      </c>
      <c r="B789" t="s">
        <v>2244</v>
      </c>
      <c r="C789" t="str">
        <f t="shared" si="17"/>
        <v>Thursday-05-2023</v>
      </c>
      <c r="D789" t="s">
        <v>2245</v>
      </c>
      <c r="E789" t="s">
        <v>35</v>
      </c>
      <c r="F789" t="s">
        <v>143</v>
      </c>
      <c r="G789" t="s">
        <v>15</v>
      </c>
      <c r="H789" t="s">
        <v>16</v>
      </c>
      <c r="I789" s="3">
        <v>3869</v>
      </c>
      <c r="J789" s="3">
        <v>773.91000000000008</v>
      </c>
      <c r="K789" t="s">
        <v>37</v>
      </c>
    </row>
    <row r="790" spans="1:11" x14ac:dyDescent="0.35">
      <c r="A790" t="s">
        <v>2246</v>
      </c>
      <c r="B790" t="s">
        <v>2247</v>
      </c>
      <c r="C790" t="str">
        <f t="shared" si="17"/>
        <v>Friday-05-2025</v>
      </c>
      <c r="D790" t="s">
        <v>2248</v>
      </c>
      <c r="E790" t="s">
        <v>253</v>
      </c>
      <c r="F790" t="s">
        <v>86</v>
      </c>
      <c r="G790" t="s">
        <v>30</v>
      </c>
      <c r="H790" t="s">
        <v>16</v>
      </c>
      <c r="I790" s="3">
        <v>1507</v>
      </c>
      <c r="J790" s="3">
        <v>301.43400000000003</v>
      </c>
      <c r="K790" t="s">
        <v>37</v>
      </c>
    </row>
    <row r="791" spans="1:11" x14ac:dyDescent="0.35">
      <c r="A791" t="s">
        <v>2249</v>
      </c>
      <c r="B791" t="s">
        <v>2250</v>
      </c>
      <c r="C791" t="str">
        <f t="shared" si="17"/>
        <v>Tuesday-01-2025</v>
      </c>
      <c r="D791" t="s">
        <v>2251</v>
      </c>
      <c r="E791" t="s">
        <v>202</v>
      </c>
      <c r="F791" t="s">
        <v>22</v>
      </c>
      <c r="G791" t="s">
        <v>15</v>
      </c>
      <c r="H791" t="s">
        <v>31</v>
      </c>
      <c r="I791" s="3">
        <v>383</v>
      </c>
      <c r="J791" s="3">
        <v>0</v>
      </c>
      <c r="K791" t="s">
        <v>17</v>
      </c>
    </row>
    <row r="792" spans="1:11" x14ac:dyDescent="0.35">
      <c r="A792" t="s">
        <v>2252</v>
      </c>
      <c r="B792" t="s">
        <v>2253</v>
      </c>
      <c r="C792" t="str">
        <f t="shared" si="17"/>
        <v>Sunday-08-2025</v>
      </c>
      <c r="D792" t="s">
        <v>2254</v>
      </c>
      <c r="E792" t="s">
        <v>49</v>
      </c>
      <c r="F792" t="s">
        <v>86</v>
      </c>
      <c r="G792" t="s">
        <v>30</v>
      </c>
      <c r="H792" t="s">
        <v>41</v>
      </c>
      <c r="I792" s="3">
        <v>412</v>
      </c>
      <c r="J792" s="3">
        <v>20.647500000000001</v>
      </c>
      <c r="K792" t="s">
        <v>37</v>
      </c>
    </row>
    <row r="793" spans="1:11" x14ac:dyDescent="0.35">
      <c r="A793" t="s">
        <v>2255</v>
      </c>
      <c r="B793" t="s">
        <v>2256</v>
      </c>
      <c r="C793" t="str">
        <f t="shared" si="17"/>
        <v>Thursday-08-2023</v>
      </c>
      <c r="D793" t="s">
        <v>2257</v>
      </c>
      <c r="E793" t="s">
        <v>108</v>
      </c>
      <c r="F793" t="s">
        <v>22</v>
      </c>
      <c r="G793" t="s">
        <v>30</v>
      </c>
      <c r="H793" t="s">
        <v>16</v>
      </c>
      <c r="I793" s="3">
        <v>1582</v>
      </c>
      <c r="J793" s="3">
        <v>316.45</v>
      </c>
      <c r="K793" t="s">
        <v>17</v>
      </c>
    </row>
    <row r="794" spans="1:11" x14ac:dyDescent="0.35">
      <c r="A794" t="s">
        <v>2258</v>
      </c>
      <c r="B794" t="s">
        <v>2259</v>
      </c>
      <c r="C794" t="str">
        <f t="shared" si="17"/>
        <v>Friday-08-2023</v>
      </c>
      <c r="D794" t="s">
        <v>2260</v>
      </c>
      <c r="E794" t="s">
        <v>61</v>
      </c>
      <c r="F794" t="s">
        <v>29</v>
      </c>
      <c r="G794" t="s">
        <v>23</v>
      </c>
      <c r="H794" t="s">
        <v>16</v>
      </c>
      <c r="I794" s="3">
        <v>4347</v>
      </c>
      <c r="J794" s="3">
        <v>434.70500000000004</v>
      </c>
      <c r="K794" t="s">
        <v>17</v>
      </c>
    </row>
    <row r="795" spans="1:11" x14ac:dyDescent="0.35">
      <c r="A795" t="s">
        <v>2261</v>
      </c>
      <c r="B795" t="s">
        <v>2262</v>
      </c>
      <c r="C795" t="str">
        <f t="shared" si="17"/>
        <v xml:space="preserve"> 12 September 2023 04:59</v>
      </c>
      <c r="D795" t="s">
        <v>51</v>
      </c>
      <c r="E795" t="s">
        <v>28</v>
      </c>
      <c r="F795" t="s">
        <v>14</v>
      </c>
      <c r="G795" t="s">
        <v>23</v>
      </c>
      <c r="H795" t="s">
        <v>41</v>
      </c>
      <c r="I795" s="3">
        <v>3260</v>
      </c>
      <c r="J795" s="3">
        <v>652.024</v>
      </c>
      <c r="K795" t="s">
        <v>24</v>
      </c>
    </row>
    <row r="796" spans="1:11" x14ac:dyDescent="0.35">
      <c r="A796" t="s">
        <v>2263</v>
      </c>
      <c r="B796" t="s">
        <v>2264</v>
      </c>
      <c r="C796" t="str">
        <f t="shared" si="17"/>
        <v>Sunday-06-2023</v>
      </c>
      <c r="D796" t="s">
        <v>2265</v>
      </c>
      <c r="E796" t="s">
        <v>35</v>
      </c>
      <c r="F796" t="s">
        <v>22</v>
      </c>
      <c r="G796" t="s">
        <v>23</v>
      </c>
      <c r="H796" t="s">
        <v>16</v>
      </c>
      <c r="I796" s="3">
        <v>4291</v>
      </c>
      <c r="J796" s="3">
        <v>429.19799999999998</v>
      </c>
      <c r="K796" t="s">
        <v>17</v>
      </c>
    </row>
    <row r="797" spans="1:11" x14ac:dyDescent="0.35">
      <c r="A797" t="s">
        <v>2266</v>
      </c>
      <c r="B797" t="s">
        <v>2267</v>
      </c>
      <c r="C797" t="str">
        <f t="shared" si="17"/>
        <v>Wednesday-02-2023</v>
      </c>
      <c r="D797" t="s">
        <v>2268</v>
      </c>
      <c r="E797" t="s">
        <v>35</v>
      </c>
      <c r="F797" t="s">
        <v>14</v>
      </c>
      <c r="G797" t="s">
        <v>30</v>
      </c>
      <c r="H797" t="s">
        <v>16</v>
      </c>
      <c r="I797" s="3">
        <v>2537</v>
      </c>
      <c r="J797" s="3">
        <v>507.55600000000004</v>
      </c>
      <c r="K797" t="s">
        <v>37</v>
      </c>
    </row>
    <row r="798" spans="1:11" x14ac:dyDescent="0.35">
      <c r="A798" t="s">
        <v>2269</v>
      </c>
      <c r="B798" t="s">
        <v>2270</v>
      </c>
      <c r="C798" t="str">
        <f t="shared" si="17"/>
        <v xml:space="preserve"> 05-07-2025</v>
      </c>
      <c r="D798" t="s">
        <v>2271</v>
      </c>
      <c r="E798" t="s">
        <v>49</v>
      </c>
      <c r="F798" t="s">
        <v>66</v>
      </c>
      <c r="G798" t="s">
        <v>30</v>
      </c>
      <c r="H798" t="s">
        <v>31</v>
      </c>
      <c r="I798" s="3">
        <v>3322</v>
      </c>
      <c r="J798" s="3">
        <v>664.5</v>
      </c>
      <c r="K798" t="s">
        <v>17</v>
      </c>
    </row>
    <row r="799" spans="1:11" x14ac:dyDescent="0.35">
      <c r="A799" t="s">
        <v>2272</v>
      </c>
      <c r="B799" t="s">
        <v>2273</v>
      </c>
      <c r="C799" t="str">
        <f t="shared" si="17"/>
        <v>Monday-01-2024</v>
      </c>
      <c r="D799" t="s">
        <v>2274</v>
      </c>
      <c r="E799" t="s">
        <v>45</v>
      </c>
      <c r="F799" t="s">
        <v>86</v>
      </c>
      <c r="G799" t="s">
        <v>23</v>
      </c>
      <c r="H799" t="s">
        <v>41</v>
      </c>
      <c r="I799" s="3">
        <v>463</v>
      </c>
      <c r="J799" s="3">
        <v>30.922666666666665</v>
      </c>
      <c r="K799" t="s">
        <v>37</v>
      </c>
    </row>
    <row r="800" spans="1:11" x14ac:dyDescent="0.35">
      <c r="A800" t="s">
        <v>2275</v>
      </c>
      <c r="B800" t="s">
        <v>2276</v>
      </c>
      <c r="C800" t="str">
        <f t="shared" si="17"/>
        <v>Tuesday-04-2025</v>
      </c>
      <c r="D800" t="s">
        <v>2277</v>
      </c>
      <c r="E800" t="s">
        <v>49</v>
      </c>
      <c r="F800" t="s">
        <v>57</v>
      </c>
      <c r="G800" t="s">
        <v>15</v>
      </c>
      <c r="H800" t="s">
        <v>41</v>
      </c>
      <c r="I800" s="3">
        <v>1762</v>
      </c>
      <c r="J800" s="3">
        <v>352.44</v>
      </c>
      <c r="K800" t="s">
        <v>37</v>
      </c>
    </row>
    <row r="801" spans="1:11" x14ac:dyDescent="0.35">
      <c r="A801" t="s">
        <v>2278</v>
      </c>
      <c r="B801" t="s">
        <v>2279</v>
      </c>
      <c r="C801" t="str">
        <f t="shared" si="17"/>
        <v xml:space="preserve"> 30-Jun-2023 </v>
      </c>
      <c r="D801" t="s">
        <v>1175</v>
      </c>
      <c r="E801" t="s">
        <v>103</v>
      </c>
      <c r="F801" t="s">
        <v>86</v>
      </c>
      <c r="G801" t="s">
        <v>15</v>
      </c>
      <c r="H801" t="s">
        <v>16</v>
      </c>
      <c r="I801" s="3">
        <v>4026</v>
      </c>
      <c r="J801" s="3">
        <v>268.44799999999998</v>
      </c>
      <c r="K801" t="s">
        <v>17</v>
      </c>
    </row>
    <row r="802" spans="1:11" x14ac:dyDescent="0.35">
      <c r="A802" t="s">
        <v>2280</v>
      </c>
      <c r="B802" t="s">
        <v>2281</v>
      </c>
      <c r="C802" t="str">
        <f t="shared" si="17"/>
        <v>Thursday-02-2024</v>
      </c>
      <c r="D802" t="s">
        <v>2282</v>
      </c>
      <c r="E802" t="s">
        <v>49</v>
      </c>
      <c r="F802" t="s">
        <v>86</v>
      </c>
      <c r="G802" t="s">
        <v>15</v>
      </c>
      <c r="H802" t="s">
        <v>16</v>
      </c>
      <c r="I802" s="3">
        <v>1074</v>
      </c>
      <c r="J802" s="3">
        <v>107.44500000000001</v>
      </c>
      <c r="K802" t="s">
        <v>24</v>
      </c>
    </row>
    <row r="803" spans="1:11" x14ac:dyDescent="0.35">
      <c r="A803" t="s">
        <v>2283</v>
      </c>
      <c r="B803" t="s">
        <v>2284</v>
      </c>
      <c r="C803" t="str">
        <f t="shared" si="17"/>
        <v>Thursday-03-2025</v>
      </c>
      <c r="D803" t="s">
        <v>2285</v>
      </c>
      <c r="E803" t="s">
        <v>35</v>
      </c>
      <c r="F803" t="s">
        <v>86</v>
      </c>
      <c r="G803" t="s">
        <v>15</v>
      </c>
      <c r="H803" t="s">
        <v>41</v>
      </c>
      <c r="I803" s="3">
        <v>1249</v>
      </c>
      <c r="J803" s="3">
        <v>62.451499999999996</v>
      </c>
      <c r="K803" t="s">
        <v>24</v>
      </c>
    </row>
    <row r="804" spans="1:11" x14ac:dyDescent="0.35">
      <c r="A804" t="s">
        <v>2286</v>
      </c>
      <c r="B804" t="s">
        <v>2287</v>
      </c>
      <c r="C804" t="str">
        <f t="shared" si="17"/>
        <v>03-24-2025</v>
      </c>
      <c r="D804" t="s">
        <v>2288</v>
      </c>
      <c r="E804" t="s">
        <v>108</v>
      </c>
      <c r="F804" t="s">
        <v>29</v>
      </c>
      <c r="G804" t="s">
        <v>23</v>
      </c>
      <c r="H804" t="s">
        <v>41</v>
      </c>
      <c r="I804" s="3">
        <v>877</v>
      </c>
      <c r="J804" s="3">
        <v>175.506</v>
      </c>
      <c r="K804" t="s">
        <v>37</v>
      </c>
    </row>
    <row r="805" spans="1:11" x14ac:dyDescent="0.35">
      <c r="A805" t="s">
        <v>2289</v>
      </c>
      <c r="B805" t="s">
        <v>2290</v>
      </c>
      <c r="C805" t="str">
        <f t="shared" si="17"/>
        <v>Wednesday-04-2025</v>
      </c>
      <c r="D805" t="s">
        <v>2291</v>
      </c>
      <c r="E805" t="s">
        <v>375</v>
      </c>
      <c r="F805" t="s">
        <v>99</v>
      </c>
      <c r="G805" t="s">
        <v>15</v>
      </c>
      <c r="H805" t="s">
        <v>16</v>
      </c>
      <c r="I805" s="3">
        <v>1502</v>
      </c>
      <c r="J805" s="3">
        <v>150.26</v>
      </c>
      <c r="K805" t="s">
        <v>37</v>
      </c>
    </row>
    <row r="806" spans="1:11" x14ac:dyDescent="0.35">
      <c r="A806" t="s">
        <v>2292</v>
      </c>
      <c r="B806" t="s">
        <v>2293</v>
      </c>
      <c r="C806" t="str">
        <f t="shared" si="17"/>
        <v>Sunday-12-2023</v>
      </c>
      <c r="D806" t="s">
        <v>817</v>
      </c>
      <c r="E806" t="s">
        <v>45</v>
      </c>
      <c r="F806" t="s">
        <v>99</v>
      </c>
      <c r="G806" t="s">
        <v>23</v>
      </c>
      <c r="H806" t="s">
        <v>31</v>
      </c>
      <c r="I806" s="3">
        <v>4133</v>
      </c>
      <c r="J806" s="3">
        <v>826.64</v>
      </c>
      <c r="K806" t="s">
        <v>17</v>
      </c>
    </row>
    <row r="807" spans="1:11" x14ac:dyDescent="0.35">
      <c r="A807" t="s">
        <v>2294</v>
      </c>
      <c r="B807" t="s">
        <v>2295</v>
      </c>
      <c r="C807" t="str">
        <f t="shared" si="17"/>
        <v>Friday-02-2025</v>
      </c>
      <c r="D807" t="s">
        <v>2296</v>
      </c>
      <c r="E807" t="s">
        <v>253</v>
      </c>
      <c r="F807" t="s">
        <v>36</v>
      </c>
      <c r="G807" t="s">
        <v>23</v>
      </c>
      <c r="H807" t="s">
        <v>31</v>
      </c>
      <c r="I807" s="3">
        <v>1291</v>
      </c>
      <c r="J807" s="3">
        <v>129.13499999999999</v>
      </c>
      <c r="K807" t="s">
        <v>17</v>
      </c>
    </row>
    <row r="808" spans="1:11" x14ac:dyDescent="0.35">
      <c r="A808" t="s">
        <v>2297</v>
      </c>
      <c r="B808" t="s">
        <v>2298</v>
      </c>
      <c r="C808" t="str">
        <f t="shared" si="17"/>
        <v>Wednesday-08-2023</v>
      </c>
      <c r="D808" t="s">
        <v>2299</v>
      </c>
      <c r="E808" t="s">
        <v>103</v>
      </c>
      <c r="F808" t="s">
        <v>22</v>
      </c>
      <c r="G808" t="s">
        <v>15</v>
      </c>
      <c r="H808" t="s">
        <v>31</v>
      </c>
      <c r="I808" s="3">
        <v>4154</v>
      </c>
      <c r="J808" s="3">
        <v>0</v>
      </c>
      <c r="K808" t="s">
        <v>24</v>
      </c>
    </row>
    <row r="809" spans="1:11" x14ac:dyDescent="0.35">
      <c r="A809" t="s">
        <v>2300</v>
      </c>
      <c r="B809" t="s">
        <v>2301</v>
      </c>
      <c r="C809" t="str">
        <f t="shared" si="17"/>
        <v>Friday-03-2024</v>
      </c>
      <c r="D809" t="s">
        <v>2302</v>
      </c>
      <c r="E809" t="s">
        <v>202</v>
      </c>
      <c r="F809" t="s">
        <v>14</v>
      </c>
      <c r="G809" t="s">
        <v>23</v>
      </c>
      <c r="H809" t="s">
        <v>41</v>
      </c>
      <c r="I809" s="3">
        <v>4070</v>
      </c>
      <c r="J809" s="3">
        <v>407.06399999999996</v>
      </c>
      <c r="K809" t="s">
        <v>17</v>
      </c>
    </row>
    <row r="810" spans="1:11" x14ac:dyDescent="0.35">
      <c r="A810" t="s">
        <v>2303</v>
      </c>
      <c r="B810" t="s">
        <v>2304</v>
      </c>
      <c r="C810" t="str">
        <f t="shared" si="17"/>
        <v>Wednesday-05-2024</v>
      </c>
      <c r="D810" t="s">
        <v>2305</v>
      </c>
      <c r="E810" t="s">
        <v>375</v>
      </c>
      <c r="F810" t="s">
        <v>22</v>
      </c>
      <c r="G810" t="s">
        <v>30</v>
      </c>
      <c r="H810" t="s">
        <v>31</v>
      </c>
      <c r="I810" s="3">
        <v>4533</v>
      </c>
      <c r="J810" s="3">
        <v>906.61</v>
      </c>
      <c r="K810" t="s">
        <v>24</v>
      </c>
    </row>
    <row r="811" spans="1:11" x14ac:dyDescent="0.35">
      <c r="A811" t="s">
        <v>2306</v>
      </c>
      <c r="B811" t="s">
        <v>2307</v>
      </c>
      <c r="C811" t="str">
        <f t="shared" si="17"/>
        <v>Sunday-04-2023</v>
      </c>
      <c r="D811" t="s">
        <v>2308</v>
      </c>
      <c r="E811" t="s">
        <v>13</v>
      </c>
      <c r="F811" t="s">
        <v>29</v>
      </c>
      <c r="G811" t="s">
        <v>15</v>
      </c>
      <c r="H811" t="s">
        <v>16</v>
      </c>
      <c r="I811" s="3">
        <v>862</v>
      </c>
      <c r="J811" s="3">
        <v>86.286000000000001</v>
      </c>
      <c r="K811" t="s">
        <v>24</v>
      </c>
    </row>
    <row r="812" spans="1:11" x14ac:dyDescent="0.35">
      <c r="A812" t="s">
        <v>2309</v>
      </c>
      <c r="B812" t="s">
        <v>2310</v>
      </c>
      <c r="C812" t="str">
        <f t="shared" si="17"/>
        <v>Thursday-02-2024</v>
      </c>
      <c r="D812" t="s">
        <v>2311</v>
      </c>
      <c r="E812" t="s">
        <v>21</v>
      </c>
      <c r="F812" t="s">
        <v>86</v>
      </c>
      <c r="G812" t="s">
        <v>30</v>
      </c>
      <c r="H812" t="s">
        <v>16</v>
      </c>
      <c r="I812" s="3">
        <v>1022</v>
      </c>
      <c r="J812" s="3">
        <v>204.54400000000001</v>
      </c>
      <c r="K812" t="s">
        <v>37</v>
      </c>
    </row>
    <row r="813" spans="1:11" x14ac:dyDescent="0.35">
      <c r="A813" t="s">
        <v>2312</v>
      </c>
      <c r="B813" t="s">
        <v>2313</v>
      </c>
      <c r="C813" t="str">
        <f t="shared" si="17"/>
        <v>Sunday-05-2023</v>
      </c>
      <c r="D813" t="s">
        <v>2314</v>
      </c>
      <c r="E813" t="s">
        <v>108</v>
      </c>
      <c r="F813" t="s">
        <v>66</v>
      </c>
      <c r="G813" t="s">
        <v>30</v>
      </c>
      <c r="H813" t="s">
        <v>16</v>
      </c>
      <c r="I813" s="3">
        <v>1249</v>
      </c>
      <c r="J813" s="3">
        <v>124.90899999999999</v>
      </c>
      <c r="K813" t="s">
        <v>17</v>
      </c>
    </row>
    <row r="814" spans="1:11" x14ac:dyDescent="0.35">
      <c r="A814" t="s">
        <v>2315</v>
      </c>
      <c r="B814" t="s">
        <v>2316</v>
      </c>
      <c r="C814" t="str">
        <f t="shared" si="17"/>
        <v xml:space="preserve"> 20/08/2024</v>
      </c>
      <c r="D814" t="s">
        <v>2317</v>
      </c>
      <c r="E814" t="s">
        <v>49</v>
      </c>
      <c r="F814" t="s">
        <v>22</v>
      </c>
      <c r="G814" t="s">
        <v>23</v>
      </c>
      <c r="H814" t="s">
        <v>31</v>
      </c>
      <c r="I814" s="3">
        <v>4660</v>
      </c>
      <c r="J814" s="3">
        <v>932.19200000000001</v>
      </c>
      <c r="K814" t="s">
        <v>37</v>
      </c>
    </row>
    <row r="815" spans="1:11" x14ac:dyDescent="0.35">
      <c r="A815" t="s">
        <v>2318</v>
      </c>
      <c r="C815" t="str">
        <f t="shared" si="17"/>
        <v>Saturday-01-1900</v>
      </c>
      <c r="D815" t="s">
        <v>2319</v>
      </c>
      <c r="E815" t="s">
        <v>269</v>
      </c>
      <c r="F815" t="s">
        <v>36</v>
      </c>
      <c r="G815" t="s">
        <v>30</v>
      </c>
      <c r="H815" t="s">
        <v>16</v>
      </c>
      <c r="I815" s="3">
        <v>3205</v>
      </c>
      <c r="J815" s="3">
        <v>641.18599999999992</v>
      </c>
      <c r="K815" t="s">
        <v>17</v>
      </c>
    </row>
    <row r="816" spans="1:11" x14ac:dyDescent="0.35">
      <c r="A816" t="s">
        <v>2320</v>
      </c>
      <c r="B816" t="s">
        <v>2321</v>
      </c>
      <c r="C816" t="str">
        <f t="shared" si="17"/>
        <v xml:space="preserve"> 17-Jan-2025</v>
      </c>
      <c r="D816" t="s">
        <v>2322</v>
      </c>
      <c r="E816" t="s">
        <v>35</v>
      </c>
      <c r="F816" t="s">
        <v>36</v>
      </c>
      <c r="G816" t="s">
        <v>30</v>
      </c>
      <c r="H816" t="s">
        <v>31</v>
      </c>
      <c r="I816" s="3">
        <v>3982</v>
      </c>
      <c r="J816" s="3">
        <v>796.44600000000003</v>
      </c>
      <c r="K816" t="s">
        <v>37</v>
      </c>
    </row>
    <row r="817" spans="1:11" x14ac:dyDescent="0.35">
      <c r="A817" t="s">
        <v>2323</v>
      </c>
      <c r="C817" t="str">
        <f t="shared" si="17"/>
        <v>Saturday-01-1900</v>
      </c>
      <c r="D817" t="s">
        <v>271</v>
      </c>
      <c r="E817" t="s">
        <v>28</v>
      </c>
      <c r="F817" t="s">
        <v>57</v>
      </c>
      <c r="G817" t="s">
        <v>30</v>
      </c>
      <c r="H817" t="s">
        <v>41</v>
      </c>
      <c r="I817" s="3">
        <v>4000</v>
      </c>
      <c r="J817" s="3">
        <v>200.00749999999999</v>
      </c>
      <c r="K817" t="s">
        <v>37</v>
      </c>
    </row>
    <row r="818" spans="1:11" x14ac:dyDescent="0.35">
      <c r="A818" t="s">
        <v>2324</v>
      </c>
      <c r="B818" t="s">
        <v>2325</v>
      </c>
      <c r="C818" t="str">
        <f t="shared" si="17"/>
        <v>Thursday-11-2023</v>
      </c>
      <c r="D818" t="s">
        <v>2326</v>
      </c>
      <c r="E818" t="s">
        <v>21</v>
      </c>
      <c r="F818" t="s">
        <v>36</v>
      </c>
      <c r="G818" t="s">
        <v>15</v>
      </c>
      <c r="H818" t="s">
        <v>31</v>
      </c>
      <c r="I818" s="3">
        <v>1460</v>
      </c>
      <c r="J818" s="3">
        <v>292.02</v>
      </c>
      <c r="K818" t="s">
        <v>24</v>
      </c>
    </row>
    <row r="819" spans="1:11" x14ac:dyDescent="0.35">
      <c r="A819" t="s">
        <v>2327</v>
      </c>
      <c r="B819" t="s">
        <v>1398</v>
      </c>
      <c r="C819" t="str">
        <f t="shared" si="17"/>
        <v>Thursday-01-2025</v>
      </c>
      <c r="D819" t="s">
        <v>2328</v>
      </c>
      <c r="E819" t="s">
        <v>45</v>
      </c>
      <c r="F819" t="s">
        <v>57</v>
      </c>
      <c r="G819" t="s">
        <v>30</v>
      </c>
      <c r="H819" t="s">
        <v>31</v>
      </c>
      <c r="I819" s="3">
        <v>2721</v>
      </c>
      <c r="J819" s="3">
        <v>272.12</v>
      </c>
      <c r="K819" t="s">
        <v>24</v>
      </c>
    </row>
    <row r="820" spans="1:11" x14ac:dyDescent="0.35">
      <c r="A820" t="s">
        <v>2329</v>
      </c>
      <c r="B820" t="s">
        <v>2330</v>
      </c>
      <c r="C820" t="str">
        <f t="shared" si="17"/>
        <v>Thursday-03-2023</v>
      </c>
      <c r="D820" t="s">
        <v>2331</v>
      </c>
      <c r="E820" t="s">
        <v>45</v>
      </c>
      <c r="F820" t="s">
        <v>29</v>
      </c>
      <c r="G820" t="s">
        <v>15</v>
      </c>
      <c r="H820" t="s">
        <v>41</v>
      </c>
      <c r="I820" s="3">
        <v>1092</v>
      </c>
      <c r="J820" s="3">
        <v>218.50799999999998</v>
      </c>
      <c r="K820" t="s">
        <v>24</v>
      </c>
    </row>
    <row r="821" spans="1:11" x14ac:dyDescent="0.35">
      <c r="A821" t="s">
        <v>2332</v>
      </c>
      <c r="B821" t="s">
        <v>2333</v>
      </c>
      <c r="C821" t="str">
        <f t="shared" si="17"/>
        <v>Saturday-02-2024</v>
      </c>
      <c r="D821" t="s">
        <v>2334</v>
      </c>
      <c r="E821" t="s">
        <v>45</v>
      </c>
      <c r="F821" t="s">
        <v>99</v>
      </c>
      <c r="G821" t="s">
        <v>15</v>
      </c>
      <c r="H821" t="s">
        <v>31</v>
      </c>
      <c r="I821" s="3">
        <v>3055</v>
      </c>
      <c r="J821" s="3">
        <v>0</v>
      </c>
      <c r="K821" t="s">
        <v>37</v>
      </c>
    </row>
    <row r="822" spans="1:11" x14ac:dyDescent="0.35">
      <c r="A822" t="s">
        <v>2335</v>
      </c>
      <c r="B822" t="s">
        <v>1713</v>
      </c>
      <c r="C822" t="str">
        <f t="shared" si="17"/>
        <v>Friday-07-2023</v>
      </c>
      <c r="D822" t="s">
        <v>2336</v>
      </c>
      <c r="E822" t="s">
        <v>103</v>
      </c>
      <c r="F822" t="s">
        <v>86</v>
      </c>
      <c r="G822" t="s">
        <v>15</v>
      </c>
      <c r="H822" t="s">
        <v>41</v>
      </c>
      <c r="I822" s="3">
        <v>1089</v>
      </c>
      <c r="J822" s="3">
        <v>217.958</v>
      </c>
      <c r="K822" t="s">
        <v>37</v>
      </c>
    </row>
    <row r="823" spans="1:11" x14ac:dyDescent="0.35">
      <c r="A823" t="s">
        <v>2337</v>
      </c>
      <c r="B823" t="s">
        <v>2338</v>
      </c>
      <c r="C823" t="str">
        <f t="shared" si="17"/>
        <v>Sunday-01-2024</v>
      </c>
      <c r="D823" t="s">
        <v>2339</v>
      </c>
      <c r="E823" t="s">
        <v>21</v>
      </c>
      <c r="F823" t="s">
        <v>66</v>
      </c>
      <c r="G823" t="s">
        <v>30</v>
      </c>
      <c r="H823" t="s">
        <v>41</v>
      </c>
      <c r="I823" s="3">
        <v>627</v>
      </c>
      <c r="J823" s="3">
        <v>125.47999999999999</v>
      </c>
      <c r="K823" t="s">
        <v>24</v>
      </c>
    </row>
    <row r="824" spans="1:11" x14ac:dyDescent="0.35">
      <c r="A824" t="s">
        <v>2340</v>
      </c>
      <c r="B824" t="s">
        <v>1702</v>
      </c>
      <c r="C824" t="str">
        <f t="shared" si="17"/>
        <v>Sunday-11-2023</v>
      </c>
      <c r="D824" t="s">
        <v>2341</v>
      </c>
      <c r="E824" t="s">
        <v>112</v>
      </c>
      <c r="F824" t="s">
        <v>36</v>
      </c>
      <c r="G824" t="s">
        <v>30</v>
      </c>
      <c r="H824" t="s">
        <v>41</v>
      </c>
      <c r="I824" s="3">
        <v>2616</v>
      </c>
      <c r="J824" s="3">
        <v>174.42133333333334</v>
      </c>
      <c r="K824" t="s">
        <v>24</v>
      </c>
    </row>
    <row r="825" spans="1:11" x14ac:dyDescent="0.35">
      <c r="A825" t="s">
        <v>2342</v>
      </c>
      <c r="B825" t="s">
        <v>2343</v>
      </c>
      <c r="C825" t="str">
        <f t="shared" si="17"/>
        <v>Thursday-04-2024</v>
      </c>
      <c r="E825" t="s">
        <v>49</v>
      </c>
      <c r="F825" t="s">
        <v>22</v>
      </c>
      <c r="G825" t="s">
        <v>30</v>
      </c>
      <c r="H825" t="s">
        <v>31</v>
      </c>
      <c r="I825" s="3">
        <v>4608</v>
      </c>
      <c r="J825" s="3">
        <v>921.7</v>
      </c>
      <c r="K825" t="s">
        <v>24</v>
      </c>
    </row>
    <row r="826" spans="1:11" x14ac:dyDescent="0.35">
      <c r="A826" t="s">
        <v>2344</v>
      </c>
      <c r="B826" t="s">
        <v>2345</v>
      </c>
      <c r="C826" t="str">
        <f t="shared" si="17"/>
        <v>Tuesday-03-2025</v>
      </c>
      <c r="D826" t="s">
        <v>2346</v>
      </c>
      <c r="E826" t="s">
        <v>28</v>
      </c>
      <c r="F826" t="s">
        <v>14</v>
      </c>
      <c r="G826" t="s">
        <v>15</v>
      </c>
      <c r="H826" t="s">
        <v>31</v>
      </c>
      <c r="I826" s="3">
        <v>2485</v>
      </c>
      <c r="J826" s="3">
        <v>248.53899999999999</v>
      </c>
      <c r="K826" t="s">
        <v>17</v>
      </c>
    </row>
    <row r="827" spans="1:11" x14ac:dyDescent="0.35">
      <c r="A827" t="s">
        <v>2347</v>
      </c>
      <c r="B827" t="s">
        <v>2348</v>
      </c>
      <c r="C827" t="str">
        <f t="shared" si="17"/>
        <v>10-18-2023</v>
      </c>
      <c r="D827" t="s">
        <v>787</v>
      </c>
      <c r="E827" t="s">
        <v>49</v>
      </c>
      <c r="F827" t="s">
        <v>36</v>
      </c>
      <c r="G827" t="s">
        <v>15</v>
      </c>
      <c r="H827" t="s">
        <v>31</v>
      </c>
      <c r="I827" s="3">
        <v>212</v>
      </c>
      <c r="J827" s="3">
        <v>14.181999999999999</v>
      </c>
      <c r="K827" t="s">
        <v>17</v>
      </c>
    </row>
    <row r="828" spans="1:11" x14ac:dyDescent="0.35">
      <c r="A828" t="s">
        <v>2349</v>
      </c>
      <c r="C828" t="str">
        <f t="shared" si="17"/>
        <v>Saturday-01-1900</v>
      </c>
      <c r="D828" t="s">
        <v>2350</v>
      </c>
      <c r="E828" t="s">
        <v>108</v>
      </c>
      <c r="F828" t="s">
        <v>14</v>
      </c>
      <c r="G828" t="s">
        <v>30</v>
      </c>
      <c r="H828" t="s">
        <v>41</v>
      </c>
      <c r="I828" s="3">
        <v>2874</v>
      </c>
      <c r="J828" s="3">
        <v>191.64666666666665</v>
      </c>
      <c r="K828" t="s">
        <v>17</v>
      </c>
    </row>
    <row r="829" spans="1:11" x14ac:dyDescent="0.35">
      <c r="A829" t="s">
        <v>2351</v>
      </c>
      <c r="B829" t="s">
        <v>1300</v>
      </c>
      <c r="C829" t="str">
        <f t="shared" si="17"/>
        <v>Friday-02-2024</v>
      </c>
      <c r="D829" t="s">
        <v>2352</v>
      </c>
      <c r="E829" t="s">
        <v>35</v>
      </c>
      <c r="F829" t="s">
        <v>14</v>
      </c>
      <c r="G829" t="s">
        <v>23</v>
      </c>
      <c r="H829" t="s">
        <v>16</v>
      </c>
      <c r="I829" s="3">
        <v>1572</v>
      </c>
      <c r="J829" s="3">
        <v>157.238</v>
      </c>
      <c r="K829" t="s">
        <v>17</v>
      </c>
    </row>
    <row r="830" spans="1:11" x14ac:dyDescent="0.35">
      <c r="A830" t="s">
        <v>2353</v>
      </c>
      <c r="B830" t="s">
        <v>740</v>
      </c>
      <c r="C830" t="str">
        <f t="shared" si="17"/>
        <v>Friday-06-2024</v>
      </c>
      <c r="D830" t="s">
        <v>2354</v>
      </c>
      <c r="E830" t="s">
        <v>21</v>
      </c>
      <c r="F830" t="s">
        <v>29</v>
      </c>
      <c r="G830" t="s">
        <v>30</v>
      </c>
      <c r="H830" t="s">
        <v>41</v>
      </c>
      <c r="I830" s="3">
        <v>3130</v>
      </c>
      <c r="J830" s="3">
        <v>0</v>
      </c>
      <c r="K830" t="s">
        <v>24</v>
      </c>
    </row>
    <row r="831" spans="1:11" x14ac:dyDescent="0.35">
      <c r="A831" t="s">
        <v>2355</v>
      </c>
      <c r="C831" t="str">
        <f t="shared" si="17"/>
        <v>Saturday-01-1900</v>
      </c>
      <c r="D831" t="s">
        <v>2356</v>
      </c>
      <c r="E831" t="s">
        <v>13</v>
      </c>
      <c r="F831" t="s">
        <v>14</v>
      </c>
      <c r="G831" t="s">
        <v>30</v>
      </c>
      <c r="H831" t="s">
        <v>16</v>
      </c>
      <c r="I831" s="3">
        <v>971</v>
      </c>
      <c r="J831" s="3">
        <v>64.751999999999995</v>
      </c>
      <c r="K831" t="s">
        <v>37</v>
      </c>
    </row>
    <row r="832" spans="1:11" x14ac:dyDescent="0.35">
      <c r="A832" t="s">
        <v>2357</v>
      </c>
      <c r="B832" t="s">
        <v>2358</v>
      </c>
      <c r="C832" t="str">
        <f t="shared" si="17"/>
        <v>Sunday-03-2025</v>
      </c>
      <c r="E832" t="s">
        <v>269</v>
      </c>
      <c r="F832" t="s">
        <v>14</v>
      </c>
      <c r="G832" t="s">
        <v>23</v>
      </c>
      <c r="H832" t="s">
        <v>31</v>
      </c>
      <c r="I832" s="3">
        <v>502</v>
      </c>
      <c r="J832" s="3">
        <v>0</v>
      </c>
      <c r="K832" t="s">
        <v>24</v>
      </c>
    </row>
    <row r="833" spans="1:11" x14ac:dyDescent="0.35">
      <c r="A833" t="s">
        <v>2359</v>
      </c>
      <c r="B833" t="s">
        <v>2360</v>
      </c>
      <c r="C833" t="str">
        <f t="shared" si="17"/>
        <v>Sunday-05-2023</v>
      </c>
      <c r="D833" t="s">
        <v>2361</v>
      </c>
      <c r="E833" t="s">
        <v>253</v>
      </c>
      <c r="F833" t="s">
        <v>29</v>
      </c>
      <c r="G833" t="s">
        <v>30</v>
      </c>
      <c r="H833" t="s">
        <v>16</v>
      </c>
      <c r="I833" s="3">
        <v>1869</v>
      </c>
      <c r="J833" s="3">
        <v>373.82</v>
      </c>
      <c r="K833" t="s">
        <v>24</v>
      </c>
    </row>
    <row r="834" spans="1:11" x14ac:dyDescent="0.35">
      <c r="A834" t="s">
        <v>2362</v>
      </c>
      <c r="B834" t="s">
        <v>132</v>
      </c>
      <c r="C834" t="str">
        <f t="shared" si="17"/>
        <v xml:space="preserve"> 04-18-2024</v>
      </c>
      <c r="D834" t="s">
        <v>2363</v>
      </c>
      <c r="E834" t="s">
        <v>103</v>
      </c>
      <c r="F834" t="s">
        <v>86</v>
      </c>
      <c r="G834" t="s">
        <v>30</v>
      </c>
      <c r="H834" t="s">
        <v>31</v>
      </c>
      <c r="I834" s="3">
        <v>847</v>
      </c>
      <c r="J834" s="3">
        <v>84.742999999999995</v>
      </c>
      <c r="K834" t="s">
        <v>37</v>
      </c>
    </row>
    <row r="835" spans="1:11" x14ac:dyDescent="0.35">
      <c r="A835" t="s">
        <v>2364</v>
      </c>
      <c r="B835" t="s">
        <v>2365</v>
      </c>
      <c r="C835" t="str">
        <f t="shared" ref="C835:C898" si="18">TEXT(B835,"dddd-mm-yyyy")</f>
        <v>Sunday-06-2024</v>
      </c>
      <c r="D835" t="s">
        <v>2366</v>
      </c>
      <c r="E835" t="s">
        <v>45</v>
      </c>
      <c r="F835" t="s">
        <v>86</v>
      </c>
      <c r="G835" t="s">
        <v>30</v>
      </c>
      <c r="H835" t="s">
        <v>16</v>
      </c>
      <c r="I835" s="3">
        <v>3046</v>
      </c>
      <c r="J835" s="3">
        <v>152.34449999999998</v>
      </c>
      <c r="K835" t="s">
        <v>17</v>
      </c>
    </row>
    <row r="836" spans="1:11" x14ac:dyDescent="0.35">
      <c r="A836" t="s">
        <v>2367</v>
      </c>
      <c r="B836" t="s">
        <v>2368</v>
      </c>
      <c r="C836" t="str">
        <f t="shared" si="18"/>
        <v>Thursday-02-2023</v>
      </c>
      <c r="D836" t="s">
        <v>2369</v>
      </c>
      <c r="E836" t="s">
        <v>112</v>
      </c>
      <c r="F836" t="s">
        <v>22</v>
      </c>
      <c r="G836" t="s">
        <v>23</v>
      </c>
      <c r="H836" t="s">
        <v>41</v>
      </c>
      <c r="I836" s="3">
        <v>1916</v>
      </c>
      <c r="J836" s="3">
        <v>95.805499999999995</v>
      </c>
      <c r="K836" t="s">
        <v>37</v>
      </c>
    </row>
    <row r="837" spans="1:11" x14ac:dyDescent="0.35">
      <c r="A837" t="s">
        <v>2370</v>
      </c>
      <c r="B837" t="s">
        <v>2325</v>
      </c>
      <c r="C837" t="str">
        <f t="shared" si="18"/>
        <v>Thursday-11-2023</v>
      </c>
      <c r="D837" t="s">
        <v>2371</v>
      </c>
      <c r="E837" t="s">
        <v>28</v>
      </c>
      <c r="F837" t="s">
        <v>86</v>
      </c>
      <c r="G837" t="s">
        <v>15</v>
      </c>
      <c r="H837" t="s">
        <v>31</v>
      </c>
      <c r="I837" s="3">
        <v>1842</v>
      </c>
      <c r="J837" s="3">
        <v>184.28299999999999</v>
      </c>
      <c r="K837" t="s">
        <v>24</v>
      </c>
    </row>
    <row r="838" spans="1:11" x14ac:dyDescent="0.35">
      <c r="A838" t="s">
        <v>2372</v>
      </c>
      <c r="B838" t="s">
        <v>2373</v>
      </c>
      <c r="C838" t="str">
        <f t="shared" si="18"/>
        <v>Monday-07-2024</v>
      </c>
      <c r="D838" t="s">
        <v>2374</v>
      </c>
      <c r="E838" t="s">
        <v>28</v>
      </c>
      <c r="F838" t="s">
        <v>86</v>
      </c>
      <c r="G838" t="s">
        <v>23</v>
      </c>
      <c r="H838" t="s">
        <v>31</v>
      </c>
      <c r="I838" s="3">
        <v>1933</v>
      </c>
      <c r="J838" s="3">
        <v>386.78000000000003</v>
      </c>
      <c r="K838" t="s">
        <v>24</v>
      </c>
    </row>
    <row r="839" spans="1:11" x14ac:dyDescent="0.35">
      <c r="A839" t="s">
        <v>2375</v>
      </c>
      <c r="B839" t="s">
        <v>2376</v>
      </c>
      <c r="C839" t="str">
        <f t="shared" si="18"/>
        <v>Monday-04-2025</v>
      </c>
      <c r="D839" t="s">
        <v>2377</v>
      </c>
      <c r="E839" t="s">
        <v>61</v>
      </c>
      <c r="F839" t="s">
        <v>99</v>
      </c>
      <c r="G839" t="s">
        <v>23</v>
      </c>
      <c r="H839" t="s">
        <v>31</v>
      </c>
      <c r="I839" s="3">
        <v>4638</v>
      </c>
      <c r="J839" s="3">
        <v>231.91300000000001</v>
      </c>
      <c r="K839" t="s">
        <v>17</v>
      </c>
    </row>
    <row r="840" spans="1:11" x14ac:dyDescent="0.35">
      <c r="A840" t="s">
        <v>2378</v>
      </c>
      <c r="B840" t="s">
        <v>2379</v>
      </c>
      <c r="C840" t="str">
        <f t="shared" si="18"/>
        <v>Saturday-05-2024</v>
      </c>
      <c r="D840" t="s">
        <v>2380</v>
      </c>
      <c r="E840" t="s">
        <v>28</v>
      </c>
      <c r="F840" t="s">
        <v>36</v>
      </c>
      <c r="G840" t="s">
        <v>15</v>
      </c>
      <c r="H840" t="s">
        <v>41</v>
      </c>
      <c r="I840" s="3">
        <v>3042</v>
      </c>
      <c r="J840" s="3">
        <v>152.12550000000002</v>
      </c>
      <c r="K840" t="s">
        <v>17</v>
      </c>
    </row>
    <row r="841" spans="1:11" x14ac:dyDescent="0.35">
      <c r="A841" t="s">
        <v>2381</v>
      </c>
      <c r="B841" t="s">
        <v>2382</v>
      </c>
      <c r="C841" t="str">
        <f t="shared" si="18"/>
        <v>Friday-06-2025</v>
      </c>
      <c r="D841" t="s">
        <v>2383</v>
      </c>
      <c r="E841" t="s">
        <v>103</v>
      </c>
      <c r="F841" t="s">
        <v>22</v>
      </c>
      <c r="G841" t="s">
        <v>15</v>
      </c>
      <c r="H841" t="s">
        <v>41</v>
      </c>
      <c r="I841" s="3">
        <v>1914</v>
      </c>
      <c r="J841" s="3">
        <v>191.489</v>
      </c>
      <c r="K841" t="s">
        <v>17</v>
      </c>
    </row>
    <row r="842" spans="1:11" x14ac:dyDescent="0.35">
      <c r="A842" t="s">
        <v>2384</v>
      </c>
      <c r="C842" t="str">
        <f t="shared" si="18"/>
        <v>Saturday-01-1900</v>
      </c>
      <c r="D842" t="s">
        <v>2385</v>
      </c>
      <c r="E842" t="s">
        <v>112</v>
      </c>
      <c r="F842" t="s">
        <v>36</v>
      </c>
      <c r="G842" t="s">
        <v>30</v>
      </c>
      <c r="H842" t="s">
        <v>16</v>
      </c>
      <c r="I842" s="3">
        <v>799</v>
      </c>
      <c r="J842" s="3">
        <v>159.958</v>
      </c>
      <c r="K842" t="s">
        <v>24</v>
      </c>
    </row>
    <row r="843" spans="1:11" x14ac:dyDescent="0.35">
      <c r="A843" t="s">
        <v>2386</v>
      </c>
      <c r="B843" t="s">
        <v>2387</v>
      </c>
      <c r="C843" t="str">
        <f t="shared" si="18"/>
        <v>Sunday-09-2023</v>
      </c>
      <c r="D843" t="s">
        <v>2388</v>
      </c>
      <c r="E843" t="s">
        <v>13</v>
      </c>
      <c r="F843" t="s">
        <v>22</v>
      </c>
      <c r="G843" t="s">
        <v>23</v>
      </c>
      <c r="H843" t="s">
        <v>16</v>
      </c>
      <c r="I843" s="3">
        <v>270</v>
      </c>
      <c r="J843" s="3">
        <v>54.024000000000001</v>
      </c>
      <c r="K843" t="s">
        <v>24</v>
      </c>
    </row>
    <row r="844" spans="1:11" x14ac:dyDescent="0.35">
      <c r="A844" t="s">
        <v>2389</v>
      </c>
      <c r="B844" t="s">
        <v>2390</v>
      </c>
      <c r="C844" t="str">
        <f t="shared" si="18"/>
        <v>Sunday-06-2025</v>
      </c>
      <c r="D844" t="s">
        <v>2391</v>
      </c>
      <c r="E844" t="s">
        <v>13</v>
      </c>
      <c r="F844" t="s">
        <v>62</v>
      </c>
      <c r="G844" t="s">
        <v>30</v>
      </c>
      <c r="H844" t="s">
        <v>31</v>
      </c>
      <c r="I844" s="3">
        <v>2428</v>
      </c>
      <c r="J844" s="3">
        <v>485.71000000000004</v>
      </c>
      <c r="K844" t="s">
        <v>24</v>
      </c>
    </row>
    <row r="845" spans="1:11" x14ac:dyDescent="0.35">
      <c r="A845" t="s">
        <v>2392</v>
      </c>
      <c r="B845" t="s">
        <v>1573</v>
      </c>
      <c r="C845" t="str">
        <f t="shared" si="18"/>
        <v>Thursday-05-2024</v>
      </c>
      <c r="D845" t="s">
        <v>868</v>
      </c>
      <c r="E845" t="s">
        <v>13</v>
      </c>
      <c r="F845" t="s">
        <v>29</v>
      </c>
      <c r="G845" t="s">
        <v>30</v>
      </c>
      <c r="H845" t="s">
        <v>31</v>
      </c>
      <c r="I845" s="3">
        <v>2422</v>
      </c>
      <c r="J845" s="3">
        <v>242.22199999999998</v>
      </c>
      <c r="K845" t="s">
        <v>17</v>
      </c>
    </row>
    <row r="846" spans="1:11" x14ac:dyDescent="0.35">
      <c r="A846" t="s">
        <v>2393</v>
      </c>
      <c r="B846" t="s">
        <v>2394</v>
      </c>
      <c r="C846" t="str">
        <f t="shared" si="18"/>
        <v>Friday-07-2024</v>
      </c>
      <c r="D846" t="s">
        <v>2395</v>
      </c>
      <c r="E846" t="s">
        <v>108</v>
      </c>
      <c r="F846" t="s">
        <v>22</v>
      </c>
      <c r="G846" t="s">
        <v>15</v>
      </c>
      <c r="H846" t="s">
        <v>16</v>
      </c>
      <c r="I846" s="3">
        <v>4551</v>
      </c>
      <c r="J846" s="3">
        <v>910.25200000000007</v>
      </c>
      <c r="K846" t="s">
        <v>24</v>
      </c>
    </row>
    <row r="847" spans="1:11" x14ac:dyDescent="0.35">
      <c r="A847" t="s">
        <v>2396</v>
      </c>
      <c r="B847" t="s">
        <v>2397</v>
      </c>
      <c r="C847" t="str">
        <f t="shared" si="18"/>
        <v>Saturday-01-2024</v>
      </c>
      <c r="D847" t="s">
        <v>2398</v>
      </c>
      <c r="E847" t="s">
        <v>112</v>
      </c>
      <c r="F847" t="s">
        <v>29</v>
      </c>
      <c r="G847" t="s">
        <v>15</v>
      </c>
      <c r="H847" t="s">
        <v>16</v>
      </c>
      <c r="I847" s="3">
        <v>2570</v>
      </c>
      <c r="J847" s="3">
        <v>257.09499999999997</v>
      </c>
      <c r="K847" t="s">
        <v>37</v>
      </c>
    </row>
    <row r="848" spans="1:11" x14ac:dyDescent="0.35">
      <c r="A848" t="s">
        <v>2399</v>
      </c>
      <c r="B848" t="s">
        <v>2400</v>
      </c>
      <c r="C848" t="str">
        <f t="shared" si="18"/>
        <v>Sunday-08-2024</v>
      </c>
      <c r="D848" t="s">
        <v>2401</v>
      </c>
      <c r="E848" t="s">
        <v>53</v>
      </c>
      <c r="F848" t="s">
        <v>14</v>
      </c>
      <c r="G848" t="s">
        <v>15</v>
      </c>
      <c r="H848" t="s">
        <v>31</v>
      </c>
      <c r="I848" s="3">
        <v>4574</v>
      </c>
      <c r="J848" s="3">
        <v>457.47299999999996</v>
      </c>
      <c r="K848" t="s">
        <v>24</v>
      </c>
    </row>
    <row r="849" spans="1:11" x14ac:dyDescent="0.35">
      <c r="A849" t="s">
        <v>2402</v>
      </c>
      <c r="B849" t="s">
        <v>2403</v>
      </c>
      <c r="C849" t="str">
        <f t="shared" si="18"/>
        <v>Tuesday-09-2024</v>
      </c>
      <c r="D849" t="s">
        <v>2404</v>
      </c>
      <c r="E849" t="s">
        <v>49</v>
      </c>
      <c r="F849" t="s">
        <v>86</v>
      </c>
      <c r="G849" t="s">
        <v>15</v>
      </c>
      <c r="H849" t="s">
        <v>16</v>
      </c>
      <c r="I849" s="3">
        <v>4966</v>
      </c>
      <c r="J849" s="3">
        <v>993.27800000000002</v>
      </c>
      <c r="K849" t="s">
        <v>17</v>
      </c>
    </row>
    <row r="850" spans="1:11" x14ac:dyDescent="0.35">
      <c r="A850" t="s">
        <v>2405</v>
      </c>
      <c r="B850" t="s">
        <v>2406</v>
      </c>
      <c r="C850" t="str">
        <f t="shared" si="18"/>
        <v>Sunday-03-2024</v>
      </c>
      <c r="D850" t="s">
        <v>2407</v>
      </c>
      <c r="E850" t="s">
        <v>28</v>
      </c>
      <c r="F850" t="s">
        <v>62</v>
      </c>
      <c r="G850" t="s">
        <v>23</v>
      </c>
      <c r="H850" t="s">
        <v>41</v>
      </c>
      <c r="I850" s="3">
        <v>4101</v>
      </c>
      <c r="J850" s="3">
        <v>410.16700000000003</v>
      </c>
      <c r="K850" t="s">
        <v>24</v>
      </c>
    </row>
    <row r="851" spans="1:11" x14ac:dyDescent="0.35">
      <c r="A851" t="s">
        <v>2408</v>
      </c>
      <c r="B851" t="s">
        <v>2409</v>
      </c>
      <c r="C851" t="str">
        <f t="shared" si="18"/>
        <v>Wednesday-02-2025</v>
      </c>
      <c r="E851" t="s">
        <v>103</v>
      </c>
      <c r="F851" t="s">
        <v>22</v>
      </c>
      <c r="G851" t="s">
        <v>30</v>
      </c>
      <c r="H851" t="s">
        <v>41</v>
      </c>
      <c r="I851" s="3">
        <v>3892</v>
      </c>
      <c r="J851" s="3">
        <v>389.23899999999998</v>
      </c>
      <c r="K851" t="s">
        <v>37</v>
      </c>
    </row>
    <row r="852" spans="1:11" x14ac:dyDescent="0.35">
      <c r="A852" t="s">
        <v>2410</v>
      </c>
      <c r="B852" t="s">
        <v>2411</v>
      </c>
      <c r="C852" t="str">
        <f t="shared" si="18"/>
        <v>Thursday-03-2023</v>
      </c>
      <c r="D852" t="s">
        <v>2412</v>
      </c>
      <c r="E852" t="s">
        <v>53</v>
      </c>
      <c r="F852" t="s">
        <v>29</v>
      </c>
      <c r="G852" t="s">
        <v>15</v>
      </c>
      <c r="H852" t="s">
        <v>41</v>
      </c>
      <c r="I852" s="3">
        <v>277</v>
      </c>
      <c r="J852" s="3">
        <v>0</v>
      </c>
      <c r="K852" t="s">
        <v>37</v>
      </c>
    </row>
    <row r="853" spans="1:11" x14ac:dyDescent="0.35">
      <c r="A853" t="s">
        <v>2413</v>
      </c>
      <c r="B853" t="s">
        <v>2414</v>
      </c>
      <c r="C853" t="str">
        <f t="shared" si="18"/>
        <v>Tuesday-09-2023</v>
      </c>
      <c r="D853" t="s">
        <v>2415</v>
      </c>
      <c r="E853" t="s">
        <v>103</v>
      </c>
      <c r="F853" t="s">
        <v>29</v>
      </c>
      <c r="G853" t="s">
        <v>15</v>
      </c>
      <c r="H853" t="s">
        <v>31</v>
      </c>
      <c r="I853" s="3">
        <v>3262</v>
      </c>
      <c r="J853" s="3">
        <v>217.50066666666669</v>
      </c>
      <c r="K853" t="s">
        <v>37</v>
      </c>
    </row>
    <row r="854" spans="1:11" x14ac:dyDescent="0.35">
      <c r="A854" t="s">
        <v>2416</v>
      </c>
      <c r="B854" t="s">
        <v>2417</v>
      </c>
      <c r="C854" t="str">
        <f t="shared" si="18"/>
        <v>Wednesday-10-2024</v>
      </c>
      <c r="D854" t="s">
        <v>2418</v>
      </c>
      <c r="E854" t="s">
        <v>21</v>
      </c>
      <c r="F854" t="s">
        <v>36</v>
      </c>
      <c r="G854" t="s">
        <v>23</v>
      </c>
      <c r="H854" t="s">
        <v>31</v>
      </c>
      <c r="I854" s="3">
        <v>2076</v>
      </c>
      <c r="J854" s="3">
        <v>0</v>
      </c>
      <c r="K854" t="s">
        <v>37</v>
      </c>
    </row>
    <row r="855" spans="1:11" x14ac:dyDescent="0.35">
      <c r="A855" t="s">
        <v>2419</v>
      </c>
      <c r="B855" t="s">
        <v>2420</v>
      </c>
      <c r="C855" t="str">
        <f t="shared" si="18"/>
        <v>Tuesday-11-2023</v>
      </c>
      <c r="D855" t="s">
        <v>2421</v>
      </c>
      <c r="E855" t="s">
        <v>375</v>
      </c>
      <c r="F855" t="s">
        <v>14</v>
      </c>
      <c r="G855" t="s">
        <v>23</v>
      </c>
      <c r="H855" t="s">
        <v>31</v>
      </c>
      <c r="I855" s="3">
        <v>2898</v>
      </c>
      <c r="J855" s="3">
        <v>579.73599999999999</v>
      </c>
      <c r="K855" t="s">
        <v>24</v>
      </c>
    </row>
    <row r="856" spans="1:11" x14ac:dyDescent="0.35">
      <c r="A856" t="s">
        <v>2422</v>
      </c>
      <c r="B856" t="s">
        <v>2423</v>
      </c>
      <c r="C856" t="str">
        <f t="shared" si="18"/>
        <v>Friday-10-2023</v>
      </c>
      <c r="D856" t="s">
        <v>2424</v>
      </c>
      <c r="E856" t="s">
        <v>28</v>
      </c>
      <c r="F856" t="s">
        <v>14</v>
      </c>
      <c r="G856" t="s">
        <v>15</v>
      </c>
      <c r="H856" t="s">
        <v>31</v>
      </c>
      <c r="I856" s="3">
        <v>1163</v>
      </c>
      <c r="J856" s="3">
        <v>77.568666666666658</v>
      </c>
      <c r="K856" t="s">
        <v>37</v>
      </c>
    </row>
    <row r="857" spans="1:11" x14ac:dyDescent="0.35">
      <c r="A857" t="s">
        <v>2425</v>
      </c>
      <c r="B857" t="s">
        <v>2426</v>
      </c>
      <c r="C857" t="str">
        <f t="shared" si="18"/>
        <v>03-16-2024 20:17</v>
      </c>
      <c r="D857" t="s">
        <v>2427</v>
      </c>
      <c r="E857" t="s">
        <v>45</v>
      </c>
      <c r="F857" t="s">
        <v>29</v>
      </c>
      <c r="G857" t="s">
        <v>23</v>
      </c>
      <c r="H857" t="s">
        <v>31</v>
      </c>
      <c r="I857" s="3">
        <v>77</v>
      </c>
      <c r="J857" s="3">
        <v>0</v>
      </c>
      <c r="K857" t="s">
        <v>17</v>
      </c>
    </row>
    <row r="858" spans="1:11" x14ac:dyDescent="0.35">
      <c r="A858" t="s">
        <v>2428</v>
      </c>
      <c r="B858" t="s">
        <v>2429</v>
      </c>
      <c r="C858" t="str">
        <f t="shared" si="18"/>
        <v>12-23-2024</v>
      </c>
      <c r="D858" t="s">
        <v>2430</v>
      </c>
      <c r="E858" t="s">
        <v>202</v>
      </c>
      <c r="F858" t="s">
        <v>29</v>
      </c>
      <c r="G858" t="s">
        <v>15</v>
      </c>
      <c r="H858" t="s">
        <v>41</v>
      </c>
      <c r="I858" s="3">
        <v>1401</v>
      </c>
      <c r="J858" s="3">
        <v>0</v>
      </c>
      <c r="K858" t="s">
        <v>37</v>
      </c>
    </row>
    <row r="859" spans="1:11" x14ac:dyDescent="0.35">
      <c r="A859" t="s">
        <v>2431</v>
      </c>
      <c r="B859" t="s">
        <v>2432</v>
      </c>
      <c r="C859" t="str">
        <f t="shared" si="18"/>
        <v>Friday-07-2023</v>
      </c>
      <c r="D859" t="s">
        <v>2433</v>
      </c>
      <c r="E859" t="s">
        <v>35</v>
      </c>
      <c r="F859" t="s">
        <v>86</v>
      </c>
      <c r="G859" t="s">
        <v>15</v>
      </c>
      <c r="H859" t="s">
        <v>16</v>
      </c>
      <c r="I859" s="3">
        <v>675</v>
      </c>
      <c r="J859" s="3">
        <v>135.10399999999998</v>
      </c>
      <c r="K859" t="s">
        <v>17</v>
      </c>
    </row>
    <row r="860" spans="1:11" x14ac:dyDescent="0.35">
      <c r="A860" t="s">
        <v>2434</v>
      </c>
      <c r="B860" t="s">
        <v>2435</v>
      </c>
      <c r="C860" t="str">
        <f t="shared" si="18"/>
        <v>Saturday-12-2023</v>
      </c>
      <c r="E860" t="s">
        <v>28</v>
      </c>
      <c r="F860" t="s">
        <v>143</v>
      </c>
      <c r="G860" t="s">
        <v>23</v>
      </c>
      <c r="H860" t="s">
        <v>31</v>
      </c>
      <c r="I860" s="3">
        <v>1449</v>
      </c>
      <c r="J860" s="3">
        <v>96.651333333333326</v>
      </c>
      <c r="K860" t="s">
        <v>17</v>
      </c>
    </row>
    <row r="861" spans="1:11" x14ac:dyDescent="0.35">
      <c r="A861" t="s">
        <v>2436</v>
      </c>
      <c r="B861" t="s">
        <v>1726</v>
      </c>
      <c r="C861" t="str">
        <f t="shared" si="18"/>
        <v>Tuesday-08-2023</v>
      </c>
      <c r="D861" t="s">
        <v>2437</v>
      </c>
      <c r="E861" t="s">
        <v>253</v>
      </c>
      <c r="F861" t="s">
        <v>66</v>
      </c>
      <c r="G861" t="s">
        <v>30</v>
      </c>
      <c r="H861" t="s">
        <v>41</v>
      </c>
      <c r="I861" s="3">
        <v>1785</v>
      </c>
      <c r="J861" s="3">
        <v>178.57900000000001</v>
      </c>
      <c r="K861" t="s">
        <v>24</v>
      </c>
    </row>
    <row r="862" spans="1:11" x14ac:dyDescent="0.35">
      <c r="A862" t="s">
        <v>2438</v>
      </c>
      <c r="B862" t="s">
        <v>185</v>
      </c>
      <c r="C862" t="str">
        <f t="shared" si="18"/>
        <v>12-19-2024</v>
      </c>
      <c r="D862" t="s">
        <v>2439</v>
      </c>
      <c r="E862" t="s">
        <v>28</v>
      </c>
      <c r="F862" t="s">
        <v>22</v>
      </c>
      <c r="G862" t="s">
        <v>15</v>
      </c>
      <c r="H862" t="s">
        <v>16</v>
      </c>
      <c r="I862" s="3">
        <v>2433</v>
      </c>
      <c r="J862" s="3">
        <v>243.37600000000003</v>
      </c>
      <c r="K862" t="s">
        <v>24</v>
      </c>
    </row>
    <row r="863" spans="1:11" x14ac:dyDescent="0.35">
      <c r="A863" t="s">
        <v>2440</v>
      </c>
      <c r="B863" t="s">
        <v>2333</v>
      </c>
      <c r="C863" t="str">
        <f t="shared" si="18"/>
        <v>Saturday-02-2024</v>
      </c>
      <c r="D863" t="s">
        <v>2441</v>
      </c>
      <c r="E863" t="s">
        <v>45</v>
      </c>
      <c r="F863" t="s">
        <v>86</v>
      </c>
      <c r="G863" t="s">
        <v>30</v>
      </c>
      <c r="H863" t="s">
        <v>16</v>
      </c>
      <c r="I863" s="3">
        <v>2887</v>
      </c>
      <c r="J863" s="3">
        <v>192.48533333333336</v>
      </c>
      <c r="K863" t="s">
        <v>24</v>
      </c>
    </row>
    <row r="864" spans="1:11" x14ac:dyDescent="0.35">
      <c r="A864" t="s">
        <v>2442</v>
      </c>
      <c r="B864" t="s">
        <v>2443</v>
      </c>
      <c r="C864" t="str">
        <f t="shared" si="18"/>
        <v>Thursday-05-2025</v>
      </c>
      <c r="D864" t="s">
        <v>2444</v>
      </c>
      <c r="E864" t="s">
        <v>28</v>
      </c>
      <c r="F864" t="s">
        <v>29</v>
      </c>
      <c r="G864" t="s">
        <v>15</v>
      </c>
      <c r="H864" t="s">
        <v>41</v>
      </c>
      <c r="I864" s="3">
        <v>2780</v>
      </c>
      <c r="J864" s="3">
        <v>278.09000000000003</v>
      </c>
      <c r="K864" t="s">
        <v>24</v>
      </c>
    </row>
    <row r="865" spans="1:11" x14ac:dyDescent="0.35">
      <c r="A865" t="s">
        <v>2445</v>
      </c>
      <c r="B865" t="s">
        <v>2446</v>
      </c>
      <c r="C865" t="str">
        <f t="shared" si="18"/>
        <v>Saturday-06-2025</v>
      </c>
      <c r="D865" t="s">
        <v>2447</v>
      </c>
      <c r="E865" t="s">
        <v>13</v>
      </c>
      <c r="F865" t="s">
        <v>14</v>
      </c>
      <c r="G865" t="s">
        <v>15</v>
      </c>
      <c r="H865" t="s">
        <v>16</v>
      </c>
      <c r="I865" s="3">
        <v>848</v>
      </c>
      <c r="J865" s="3">
        <v>42.445999999999998</v>
      </c>
      <c r="K865" t="s">
        <v>17</v>
      </c>
    </row>
    <row r="866" spans="1:11" x14ac:dyDescent="0.35">
      <c r="A866" t="s">
        <v>2448</v>
      </c>
      <c r="B866" t="s">
        <v>2449</v>
      </c>
      <c r="C866" t="str">
        <f t="shared" si="18"/>
        <v>Thursday-12-2023</v>
      </c>
      <c r="D866" t="s">
        <v>2450</v>
      </c>
      <c r="E866" t="s">
        <v>45</v>
      </c>
      <c r="F866" t="s">
        <v>36</v>
      </c>
      <c r="G866" t="s">
        <v>30</v>
      </c>
      <c r="H866" t="s">
        <v>41</v>
      </c>
      <c r="I866" s="3">
        <v>3128</v>
      </c>
      <c r="J866" s="3">
        <v>156.41400000000002</v>
      </c>
      <c r="K866" t="s">
        <v>37</v>
      </c>
    </row>
    <row r="867" spans="1:11" x14ac:dyDescent="0.35">
      <c r="A867" t="s">
        <v>2451</v>
      </c>
      <c r="B867" t="s">
        <v>2452</v>
      </c>
      <c r="C867" t="str">
        <f t="shared" si="18"/>
        <v xml:space="preserve">12-16-2024 02:55 </v>
      </c>
      <c r="D867" t="s">
        <v>2453</v>
      </c>
      <c r="E867" t="s">
        <v>45</v>
      </c>
      <c r="F867" t="s">
        <v>66</v>
      </c>
      <c r="G867" t="s">
        <v>30</v>
      </c>
      <c r="H867" t="s">
        <v>31</v>
      </c>
      <c r="I867" s="3">
        <v>4990</v>
      </c>
      <c r="J867" s="3">
        <v>0</v>
      </c>
      <c r="K867" t="s">
        <v>37</v>
      </c>
    </row>
    <row r="868" spans="1:11" x14ac:dyDescent="0.35">
      <c r="A868" t="s">
        <v>2454</v>
      </c>
      <c r="B868" t="s">
        <v>2455</v>
      </c>
      <c r="C868" t="str">
        <f t="shared" si="18"/>
        <v>Saturday-06-2024</v>
      </c>
      <c r="D868" t="s">
        <v>2456</v>
      </c>
      <c r="E868" t="s">
        <v>375</v>
      </c>
      <c r="F868" t="s">
        <v>29</v>
      </c>
      <c r="G868" t="s">
        <v>15</v>
      </c>
      <c r="H868" t="s">
        <v>41</v>
      </c>
      <c r="I868" s="3">
        <v>148</v>
      </c>
      <c r="J868" s="3">
        <v>7.4245000000000001</v>
      </c>
      <c r="K868" t="s">
        <v>17</v>
      </c>
    </row>
    <row r="869" spans="1:11" x14ac:dyDescent="0.35">
      <c r="A869" t="s">
        <v>2457</v>
      </c>
      <c r="B869" t="s">
        <v>2458</v>
      </c>
      <c r="C869" t="str">
        <f t="shared" si="18"/>
        <v>Wednesday-11-2023</v>
      </c>
      <c r="D869" t="s">
        <v>1430</v>
      </c>
      <c r="E869" t="s">
        <v>108</v>
      </c>
      <c r="F869" t="s">
        <v>86</v>
      </c>
      <c r="G869" t="s">
        <v>15</v>
      </c>
      <c r="H869" t="s">
        <v>41</v>
      </c>
      <c r="I869" s="3">
        <v>69</v>
      </c>
      <c r="J869" s="3">
        <v>6.9689999999999994</v>
      </c>
      <c r="K869" t="s">
        <v>37</v>
      </c>
    </row>
    <row r="870" spans="1:11" x14ac:dyDescent="0.35">
      <c r="A870" t="s">
        <v>2459</v>
      </c>
      <c r="B870" t="s">
        <v>2460</v>
      </c>
      <c r="C870" t="str">
        <f t="shared" si="18"/>
        <v>Monday-03-2023</v>
      </c>
      <c r="D870" t="s">
        <v>920</v>
      </c>
      <c r="E870" t="s">
        <v>112</v>
      </c>
      <c r="F870" t="s">
        <v>66</v>
      </c>
      <c r="G870" t="s">
        <v>15</v>
      </c>
      <c r="H870" t="s">
        <v>41</v>
      </c>
      <c r="I870" s="3">
        <v>3065</v>
      </c>
      <c r="J870" s="3">
        <v>613.19399999999996</v>
      </c>
      <c r="K870" t="s">
        <v>17</v>
      </c>
    </row>
    <row r="871" spans="1:11" x14ac:dyDescent="0.35">
      <c r="A871" t="s">
        <v>2461</v>
      </c>
      <c r="B871" t="s">
        <v>2462</v>
      </c>
      <c r="C871" t="str">
        <f t="shared" si="18"/>
        <v>Tuesday-11-2024</v>
      </c>
      <c r="D871" t="s">
        <v>2463</v>
      </c>
      <c r="E871" t="s">
        <v>49</v>
      </c>
      <c r="F871" t="s">
        <v>36</v>
      </c>
      <c r="G871" t="s">
        <v>30</v>
      </c>
      <c r="H871" t="s">
        <v>31</v>
      </c>
      <c r="I871" s="3">
        <v>1028</v>
      </c>
      <c r="J871" s="3">
        <v>102.82899999999999</v>
      </c>
      <c r="K871" t="s">
        <v>17</v>
      </c>
    </row>
    <row r="872" spans="1:11" x14ac:dyDescent="0.35">
      <c r="A872" t="s">
        <v>2464</v>
      </c>
      <c r="B872" t="s">
        <v>2465</v>
      </c>
      <c r="C872" t="str">
        <f t="shared" si="18"/>
        <v>Monday-10-2024</v>
      </c>
      <c r="D872" t="s">
        <v>2466</v>
      </c>
      <c r="E872" t="s">
        <v>103</v>
      </c>
      <c r="F872" t="s">
        <v>29</v>
      </c>
      <c r="G872" t="s">
        <v>30</v>
      </c>
      <c r="H872" t="s">
        <v>31</v>
      </c>
      <c r="I872" s="3">
        <v>1933</v>
      </c>
      <c r="J872" s="3">
        <v>193.38</v>
      </c>
      <c r="K872" t="s">
        <v>37</v>
      </c>
    </row>
    <row r="873" spans="1:11" x14ac:dyDescent="0.35">
      <c r="A873" t="s">
        <v>2467</v>
      </c>
      <c r="B873" t="s">
        <v>2468</v>
      </c>
      <c r="C873" t="str">
        <f t="shared" si="18"/>
        <v>Tuesday-09-2023</v>
      </c>
      <c r="D873" t="s">
        <v>2469</v>
      </c>
      <c r="E873" t="s">
        <v>112</v>
      </c>
      <c r="F873" t="s">
        <v>57</v>
      </c>
      <c r="G873" t="s">
        <v>23</v>
      </c>
      <c r="H873" t="s">
        <v>16</v>
      </c>
      <c r="I873" s="3">
        <v>3139</v>
      </c>
      <c r="J873" s="3">
        <v>627.87400000000002</v>
      </c>
      <c r="K873" t="s">
        <v>37</v>
      </c>
    </row>
    <row r="874" spans="1:11" x14ac:dyDescent="0.35">
      <c r="A874" t="s">
        <v>2470</v>
      </c>
      <c r="B874" t="s">
        <v>2471</v>
      </c>
      <c r="C874" t="str">
        <f t="shared" si="18"/>
        <v>Friday-11-2024</v>
      </c>
      <c r="D874" t="s">
        <v>2472</v>
      </c>
      <c r="E874" t="s">
        <v>108</v>
      </c>
      <c r="F874" t="s">
        <v>29</v>
      </c>
      <c r="G874" t="s">
        <v>15</v>
      </c>
      <c r="H874" t="s">
        <v>16</v>
      </c>
      <c r="I874" s="3">
        <v>2456</v>
      </c>
      <c r="J874" s="3">
        <v>0</v>
      </c>
      <c r="K874" t="s">
        <v>17</v>
      </c>
    </row>
    <row r="875" spans="1:11" x14ac:dyDescent="0.35">
      <c r="A875" t="s">
        <v>2473</v>
      </c>
      <c r="B875" t="s">
        <v>2474</v>
      </c>
      <c r="C875" t="str">
        <f t="shared" si="18"/>
        <v>Friday-08-2024</v>
      </c>
      <c r="D875" t="s">
        <v>2475</v>
      </c>
      <c r="E875" t="s">
        <v>28</v>
      </c>
      <c r="F875" t="s">
        <v>22</v>
      </c>
      <c r="G875" t="s">
        <v>23</v>
      </c>
      <c r="H875" t="s">
        <v>41</v>
      </c>
      <c r="I875" s="3">
        <v>2432</v>
      </c>
      <c r="J875" s="3">
        <v>243.22399999999999</v>
      </c>
      <c r="K875" t="s">
        <v>17</v>
      </c>
    </row>
    <row r="876" spans="1:11" x14ac:dyDescent="0.35">
      <c r="A876" t="s">
        <v>2476</v>
      </c>
      <c r="C876" t="str">
        <f t="shared" si="18"/>
        <v>Saturday-01-1900</v>
      </c>
      <c r="E876" t="s">
        <v>49</v>
      </c>
      <c r="F876" t="s">
        <v>36</v>
      </c>
      <c r="G876" t="s">
        <v>23</v>
      </c>
      <c r="H876" t="s">
        <v>16</v>
      </c>
      <c r="I876" s="3">
        <v>672</v>
      </c>
      <c r="J876" s="3">
        <v>0</v>
      </c>
      <c r="K876" t="s">
        <v>17</v>
      </c>
    </row>
    <row r="877" spans="1:11" x14ac:dyDescent="0.35">
      <c r="A877" t="s">
        <v>2477</v>
      </c>
      <c r="B877" t="s">
        <v>2478</v>
      </c>
      <c r="C877" t="str">
        <f t="shared" si="18"/>
        <v>Sunday-12-2023</v>
      </c>
      <c r="D877" t="s">
        <v>2479</v>
      </c>
      <c r="E877" t="s">
        <v>108</v>
      </c>
      <c r="F877" t="s">
        <v>143</v>
      </c>
      <c r="G877" t="s">
        <v>30</v>
      </c>
      <c r="H877" t="s">
        <v>16</v>
      </c>
      <c r="I877" s="3">
        <v>1888</v>
      </c>
      <c r="J877" s="3">
        <v>188.869</v>
      </c>
      <c r="K877" t="s">
        <v>24</v>
      </c>
    </row>
    <row r="878" spans="1:11" x14ac:dyDescent="0.35">
      <c r="A878" t="s">
        <v>2480</v>
      </c>
      <c r="B878" t="s">
        <v>2150</v>
      </c>
      <c r="C878" t="str">
        <f t="shared" si="18"/>
        <v>01-16-2024</v>
      </c>
      <c r="D878" t="s">
        <v>1969</v>
      </c>
      <c r="E878" t="s">
        <v>13</v>
      </c>
      <c r="F878" t="s">
        <v>22</v>
      </c>
      <c r="G878" t="s">
        <v>30</v>
      </c>
      <c r="H878" t="s">
        <v>16</v>
      </c>
      <c r="I878" s="3">
        <v>1922</v>
      </c>
      <c r="J878" s="3">
        <v>192.27</v>
      </c>
      <c r="K878" t="s">
        <v>17</v>
      </c>
    </row>
    <row r="879" spans="1:11" x14ac:dyDescent="0.35">
      <c r="A879" t="s">
        <v>2481</v>
      </c>
      <c r="B879" t="s">
        <v>425</v>
      </c>
      <c r="C879" t="str">
        <f t="shared" si="18"/>
        <v>Thursday-03-2023</v>
      </c>
      <c r="D879" t="s">
        <v>2482</v>
      </c>
      <c r="E879" t="s">
        <v>45</v>
      </c>
      <c r="F879" t="s">
        <v>22</v>
      </c>
      <c r="G879" t="s">
        <v>30</v>
      </c>
      <c r="H879" t="s">
        <v>41</v>
      </c>
      <c r="I879" s="3">
        <v>3300</v>
      </c>
      <c r="J879" s="3">
        <v>330.09199999999998</v>
      </c>
      <c r="K879" t="s">
        <v>17</v>
      </c>
    </row>
    <row r="880" spans="1:11" x14ac:dyDescent="0.35">
      <c r="A880" t="s">
        <v>2483</v>
      </c>
      <c r="B880" t="s">
        <v>2484</v>
      </c>
      <c r="C880" t="str">
        <f t="shared" si="18"/>
        <v>Wednesday-07-2024</v>
      </c>
      <c r="D880" t="s">
        <v>2485</v>
      </c>
      <c r="E880" t="s">
        <v>49</v>
      </c>
      <c r="F880" t="s">
        <v>29</v>
      </c>
      <c r="G880" t="s">
        <v>23</v>
      </c>
      <c r="H880" t="s">
        <v>31</v>
      </c>
      <c r="I880" s="3">
        <v>3043</v>
      </c>
      <c r="J880" s="3">
        <v>202.91266666666667</v>
      </c>
      <c r="K880" t="s">
        <v>24</v>
      </c>
    </row>
    <row r="881" spans="1:11" x14ac:dyDescent="0.35">
      <c r="A881" t="s">
        <v>2486</v>
      </c>
      <c r="B881" t="s">
        <v>2487</v>
      </c>
      <c r="C881" t="str">
        <f t="shared" si="18"/>
        <v>Monday-03-2024</v>
      </c>
      <c r="D881" t="s">
        <v>2488</v>
      </c>
      <c r="E881" t="s">
        <v>202</v>
      </c>
      <c r="F881" t="s">
        <v>22</v>
      </c>
      <c r="G881" t="s">
        <v>23</v>
      </c>
      <c r="H881" t="s">
        <v>41</v>
      </c>
      <c r="I881" s="3">
        <v>453</v>
      </c>
      <c r="J881" s="3">
        <v>45.317999999999998</v>
      </c>
      <c r="K881" t="s">
        <v>37</v>
      </c>
    </row>
    <row r="882" spans="1:11" x14ac:dyDescent="0.35">
      <c r="A882" t="s">
        <v>2489</v>
      </c>
      <c r="B882" t="s">
        <v>2490</v>
      </c>
      <c r="C882" t="str">
        <f t="shared" si="18"/>
        <v>Wednesday-05-2023</v>
      </c>
      <c r="D882" t="s">
        <v>2491</v>
      </c>
      <c r="E882" t="s">
        <v>35</v>
      </c>
      <c r="F882" t="s">
        <v>36</v>
      </c>
      <c r="G882" t="s">
        <v>15</v>
      </c>
      <c r="H882" t="s">
        <v>31</v>
      </c>
      <c r="I882" s="3">
        <v>2947</v>
      </c>
      <c r="J882" s="3">
        <v>0</v>
      </c>
      <c r="K882" t="s">
        <v>37</v>
      </c>
    </row>
    <row r="883" spans="1:11" x14ac:dyDescent="0.35">
      <c r="A883" t="s">
        <v>2492</v>
      </c>
      <c r="B883" t="s">
        <v>2493</v>
      </c>
      <c r="C883" t="str">
        <f t="shared" si="18"/>
        <v>Friday-07-2023</v>
      </c>
      <c r="D883" t="s">
        <v>2494</v>
      </c>
      <c r="E883" t="s">
        <v>49</v>
      </c>
      <c r="F883" t="s">
        <v>86</v>
      </c>
      <c r="G883" t="s">
        <v>23</v>
      </c>
      <c r="H883" t="s">
        <v>16</v>
      </c>
      <c r="I883" s="3">
        <v>2730</v>
      </c>
      <c r="J883" s="3">
        <v>0</v>
      </c>
      <c r="K883" t="s">
        <v>37</v>
      </c>
    </row>
    <row r="884" spans="1:11" x14ac:dyDescent="0.35">
      <c r="A884" t="s">
        <v>2495</v>
      </c>
      <c r="B884" t="s">
        <v>2276</v>
      </c>
      <c r="C884" t="str">
        <f t="shared" si="18"/>
        <v>Tuesday-04-2025</v>
      </c>
      <c r="D884" t="s">
        <v>2496</v>
      </c>
      <c r="E884" t="s">
        <v>253</v>
      </c>
      <c r="F884" t="s">
        <v>62</v>
      </c>
      <c r="G884" t="s">
        <v>15</v>
      </c>
      <c r="H884" t="s">
        <v>41</v>
      </c>
      <c r="I884" s="3">
        <v>4225</v>
      </c>
      <c r="J884" s="3">
        <v>281.73066666666665</v>
      </c>
      <c r="K884" t="s">
        <v>17</v>
      </c>
    </row>
    <row r="885" spans="1:11" x14ac:dyDescent="0.35">
      <c r="A885" t="s">
        <v>2497</v>
      </c>
      <c r="B885" t="s">
        <v>865</v>
      </c>
      <c r="C885" t="str">
        <f t="shared" si="18"/>
        <v>Monday-03-2023</v>
      </c>
      <c r="D885" t="s">
        <v>2498</v>
      </c>
      <c r="E885" t="s">
        <v>49</v>
      </c>
      <c r="F885" t="s">
        <v>62</v>
      </c>
      <c r="G885" t="s">
        <v>15</v>
      </c>
      <c r="H885" t="s">
        <v>31</v>
      </c>
      <c r="I885" s="3">
        <v>3180</v>
      </c>
      <c r="J885" s="3">
        <v>159.0335</v>
      </c>
      <c r="K885" t="s">
        <v>24</v>
      </c>
    </row>
    <row r="886" spans="1:11" x14ac:dyDescent="0.35">
      <c r="A886" t="s">
        <v>2499</v>
      </c>
      <c r="B886" t="s">
        <v>2500</v>
      </c>
      <c r="C886" t="str">
        <f t="shared" si="18"/>
        <v>Saturday-08-2023</v>
      </c>
      <c r="D886" t="s">
        <v>974</v>
      </c>
      <c r="E886" t="s">
        <v>13</v>
      </c>
      <c r="F886" t="s">
        <v>29</v>
      </c>
      <c r="G886" t="s">
        <v>15</v>
      </c>
      <c r="H886" t="s">
        <v>31</v>
      </c>
      <c r="I886" s="3">
        <v>1875</v>
      </c>
      <c r="J886" s="3">
        <v>0</v>
      </c>
      <c r="K886" t="s">
        <v>37</v>
      </c>
    </row>
    <row r="887" spans="1:11" x14ac:dyDescent="0.35">
      <c r="A887" t="s">
        <v>2501</v>
      </c>
      <c r="B887" t="s">
        <v>696</v>
      </c>
      <c r="C887" t="str">
        <f t="shared" si="18"/>
        <v>Thursday-01-2023</v>
      </c>
      <c r="D887" t="s">
        <v>2502</v>
      </c>
      <c r="E887" t="s">
        <v>45</v>
      </c>
      <c r="F887" t="s">
        <v>62</v>
      </c>
      <c r="G887" t="s">
        <v>30</v>
      </c>
      <c r="H887" t="s">
        <v>16</v>
      </c>
      <c r="I887" s="3">
        <v>3841</v>
      </c>
      <c r="J887" s="3">
        <v>0</v>
      </c>
      <c r="K887" t="s">
        <v>17</v>
      </c>
    </row>
    <row r="888" spans="1:11" x14ac:dyDescent="0.35">
      <c r="A888" t="s">
        <v>2503</v>
      </c>
      <c r="B888" t="s">
        <v>2504</v>
      </c>
      <c r="C888" t="str">
        <f t="shared" si="18"/>
        <v>Thursday-08-2023</v>
      </c>
      <c r="D888" t="s">
        <v>2505</v>
      </c>
      <c r="E888" t="s">
        <v>49</v>
      </c>
      <c r="F888" t="s">
        <v>22</v>
      </c>
      <c r="G888" t="s">
        <v>23</v>
      </c>
      <c r="H888" t="s">
        <v>31</v>
      </c>
      <c r="I888" s="3">
        <v>1492</v>
      </c>
      <c r="J888" s="3">
        <v>149.27699999999999</v>
      </c>
      <c r="K888" t="s">
        <v>24</v>
      </c>
    </row>
    <row r="889" spans="1:11" x14ac:dyDescent="0.35">
      <c r="A889" t="s">
        <v>2506</v>
      </c>
      <c r="B889" t="s">
        <v>2507</v>
      </c>
      <c r="C889" t="str">
        <f t="shared" si="18"/>
        <v>Saturday-06-2023</v>
      </c>
      <c r="D889" t="s">
        <v>2061</v>
      </c>
      <c r="E889" t="s">
        <v>13</v>
      </c>
      <c r="F889" t="s">
        <v>86</v>
      </c>
      <c r="G889" t="s">
        <v>30</v>
      </c>
      <c r="H889" t="s">
        <v>31</v>
      </c>
      <c r="I889" s="3">
        <v>4726</v>
      </c>
      <c r="J889" s="3">
        <v>0</v>
      </c>
      <c r="K889" t="s">
        <v>17</v>
      </c>
    </row>
    <row r="890" spans="1:11" x14ac:dyDescent="0.35">
      <c r="A890" t="s">
        <v>2508</v>
      </c>
      <c r="B890" t="s">
        <v>2509</v>
      </c>
      <c r="C890" t="str">
        <f t="shared" si="18"/>
        <v>Wednesday-12-2024</v>
      </c>
      <c r="D890" t="s">
        <v>2510</v>
      </c>
      <c r="E890" t="s">
        <v>45</v>
      </c>
      <c r="F890" t="s">
        <v>14</v>
      </c>
      <c r="G890" t="s">
        <v>30</v>
      </c>
      <c r="H890" t="s">
        <v>16</v>
      </c>
      <c r="I890" s="3">
        <v>1004</v>
      </c>
      <c r="J890" s="3">
        <v>66.970666666666659</v>
      </c>
      <c r="K890" t="s">
        <v>17</v>
      </c>
    </row>
    <row r="891" spans="1:11" x14ac:dyDescent="0.35">
      <c r="A891" t="s">
        <v>2511</v>
      </c>
      <c r="B891" t="s">
        <v>2512</v>
      </c>
      <c r="C891" t="str">
        <f t="shared" si="18"/>
        <v xml:space="preserve"> 17/02/2025</v>
      </c>
      <c r="D891" t="s">
        <v>2513</v>
      </c>
      <c r="E891" t="s">
        <v>49</v>
      </c>
      <c r="F891" t="s">
        <v>143</v>
      </c>
      <c r="G891" t="s">
        <v>30</v>
      </c>
      <c r="H891" t="s">
        <v>16</v>
      </c>
      <c r="I891" s="3">
        <v>3277</v>
      </c>
      <c r="J891" s="3">
        <v>218.494</v>
      </c>
      <c r="K891" t="s">
        <v>17</v>
      </c>
    </row>
    <row r="892" spans="1:11" x14ac:dyDescent="0.35">
      <c r="A892" t="s">
        <v>2514</v>
      </c>
      <c r="B892" t="s">
        <v>2515</v>
      </c>
      <c r="C892" t="str">
        <f t="shared" si="18"/>
        <v>Saturday-01-2023</v>
      </c>
      <c r="D892" t="s">
        <v>2516</v>
      </c>
      <c r="E892" t="s">
        <v>112</v>
      </c>
      <c r="F892" t="s">
        <v>86</v>
      </c>
      <c r="G892" t="s">
        <v>23</v>
      </c>
      <c r="H892" t="s">
        <v>16</v>
      </c>
      <c r="I892" s="3">
        <v>2320</v>
      </c>
      <c r="J892" s="3">
        <v>116.02550000000001</v>
      </c>
      <c r="K892" t="s">
        <v>37</v>
      </c>
    </row>
    <row r="893" spans="1:11" x14ac:dyDescent="0.35">
      <c r="A893" t="s">
        <v>2517</v>
      </c>
      <c r="B893" t="s">
        <v>2518</v>
      </c>
      <c r="C893" t="str">
        <f t="shared" si="18"/>
        <v xml:space="preserve"> 03-28-2025</v>
      </c>
      <c r="E893" t="s">
        <v>112</v>
      </c>
      <c r="F893" t="s">
        <v>29</v>
      </c>
      <c r="G893" t="s">
        <v>23</v>
      </c>
      <c r="H893" t="s">
        <v>16</v>
      </c>
      <c r="I893" s="3">
        <v>365</v>
      </c>
      <c r="J893" s="3">
        <v>0</v>
      </c>
      <c r="K893" t="s">
        <v>24</v>
      </c>
    </row>
    <row r="894" spans="1:11" x14ac:dyDescent="0.35">
      <c r="A894" t="s">
        <v>2519</v>
      </c>
      <c r="B894" t="s">
        <v>1938</v>
      </c>
      <c r="C894" t="str">
        <f t="shared" si="18"/>
        <v>Saturday-04-2023</v>
      </c>
      <c r="E894" t="s">
        <v>21</v>
      </c>
      <c r="F894" t="s">
        <v>36</v>
      </c>
      <c r="G894" t="s">
        <v>15</v>
      </c>
      <c r="H894" t="s">
        <v>41</v>
      </c>
      <c r="I894" s="3">
        <v>840</v>
      </c>
      <c r="J894" s="3">
        <v>84.078999999999994</v>
      </c>
      <c r="K894" t="s">
        <v>17</v>
      </c>
    </row>
    <row r="895" spans="1:11" x14ac:dyDescent="0.35">
      <c r="A895" t="s">
        <v>2520</v>
      </c>
      <c r="C895" t="str">
        <f t="shared" si="18"/>
        <v>Saturday-01-1900</v>
      </c>
      <c r="D895" t="s">
        <v>2521</v>
      </c>
      <c r="E895" t="s">
        <v>202</v>
      </c>
      <c r="F895" t="s">
        <v>14</v>
      </c>
      <c r="G895" t="s">
        <v>23</v>
      </c>
      <c r="H895" t="s">
        <v>41</v>
      </c>
      <c r="I895" s="3">
        <v>3436</v>
      </c>
      <c r="J895" s="3">
        <v>0</v>
      </c>
      <c r="K895" t="s">
        <v>37</v>
      </c>
    </row>
    <row r="896" spans="1:11" x14ac:dyDescent="0.35">
      <c r="A896" t="s">
        <v>2522</v>
      </c>
      <c r="B896" t="s">
        <v>2523</v>
      </c>
      <c r="C896" t="str">
        <f t="shared" si="18"/>
        <v>Thursday-03-2023</v>
      </c>
      <c r="D896" t="s">
        <v>2524</v>
      </c>
      <c r="E896" t="s">
        <v>49</v>
      </c>
      <c r="F896" t="s">
        <v>66</v>
      </c>
      <c r="G896" t="s">
        <v>23</v>
      </c>
      <c r="H896" t="s">
        <v>16</v>
      </c>
      <c r="I896" s="3">
        <v>908</v>
      </c>
      <c r="J896" s="3">
        <v>45.422499999999999</v>
      </c>
      <c r="K896" t="s">
        <v>24</v>
      </c>
    </row>
    <row r="897" spans="1:11" x14ac:dyDescent="0.35">
      <c r="A897" t="s">
        <v>2525</v>
      </c>
      <c r="B897" t="s">
        <v>2526</v>
      </c>
      <c r="C897" t="str">
        <f t="shared" si="18"/>
        <v>Wednesday-05-2023</v>
      </c>
      <c r="D897" t="s">
        <v>2527</v>
      </c>
      <c r="E897" t="s">
        <v>375</v>
      </c>
      <c r="F897" t="s">
        <v>86</v>
      </c>
      <c r="G897" t="s">
        <v>30</v>
      </c>
      <c r="H897" t="s">
        <v>31</v>
      </c>
      <c r="I897" s="3">
        <v>3943</v>
      </c>
      <c r="J897" s="3">
        <v>788.63400000000001</v>
      </c>
      <c r="K897" t="s">
        <v>24</v>
      </c>
    </row>
    <row r="898" spans="1:11" x14ac:dyDescent="0.35">
      <c r="A898" t="s">
        <v>2528</v>
      </c>
      <c r="B898" t="s">
        <v>2529</v>
      </c>
      <c r="C898" t="str">
        <f t="shared" si="18"/>
        <v>Monday-02-2024</v>
      </c>
      <c r="D898" t="s">
        <v>2530</v>
      </c>
      <c r="E898" t="s">
        <v>112</v>
      </c>
      <c r="F898" t="s">
        <v>86</v>
      </c>
      <c r="G898" t="s">
        <v>30</v>
      </c>
      <c r="H898" t="s">
        <v>31</v>
      </c>
      <c r="I898" s="3">
        <v>3256</v>
      </c>
      <c r="J898" s="3">
        <v>0</v>
      </c>
      <c r="K898" t="s">
        <v>37</v>
      </c>
    </row>
    <row r="899" spans="1:11" x14ac:dyDescent="0.35">
      <c r="A899" t="s">
        <v>2531</v>
      </c>
      <c r="B899" t="s">
        <v>2532</v>
      </c>
      <c r="C899" t="str">
        <f t="shared" ref="C899:C962" si="19">TEXT(B899,"dddd-mm-yyyy")</f>
        <v>Tuesday-10-2024</v>
      </c>
      <c r="D899" t="s">
        <v>2533</v>
      </c>
      <c r="E899" t="s">
        <v>13</v>
      </c>
      <c r="F899" t="s">
        <v>14</v>
      </c>
      <c r="G899" t="s">
        <v>23</v>
      </c>
      <c r="H899" t="s">
        <v>31</v>
      </c>
      <c r="I899" s="3">
        <v>543</v>
      </c>
      <c r="J899" s="3">
        <v>108.744</v>
      </c>
      <c r="K899" t="s">
        <v>24</v>
      </c>
    </row>
    <row r="900" spans="1:11" x14ac:dyDescent="0.35">
      <c r="A900" t="s">
        <v>2534</v>
      </c>
      <c r="B900" t="s">
        <v>2535</v>
      </c>
      <c r="C900" t="str">
        <f t="shared" si="19"/>
        <v>Tuesday-10-2023</v>
      </c>
      <c r="D900" t="s">
        <v>876</v>
      </c>
      <c r="E900" t="s">
        <v>79</v>
      </c>
      <c r="F900" t="s">
        <v>14</v>
      </c>
      <c r="G900" t="s">
        <v>15</v>
      </c>
      <c r="H900" t="s">
        <v>31</v>
      </c>
      <c r="I900" s="3">
        <v>1339</v>
      </c>
      <c r="J900" s="3">
        <v>133.90899999999999</v>
      </c>
      <c r="K900" t="s">
        <v>37</v>
      </c>
    </row>
    <row r="901" spans="1:11" x14ac:dyDescent="0.35">
      <c r="A901" t="s">
        <v>2536</v>
      </c>
      <c r="B901" t="s">
        <v>1300</v>
      </c>
      <c r="C901" t="str">
        <f t="shared" si="19"/>
        <v>Friday-02-2024</v>
      </c>
      <c r="D901" t="s">
        <v>2537</v>
      </c>
      <c r="E901" t="s">
        <v>45</v>
      </c>
      <c r="F901" t="s">
        <v>14</v>
      </c>
      <c r="G901" t="s">
        <v>15</v>
      </c>
      <c r="H901" t="s">
        <v>16</v>
      </c>
      <c r="I901" s="3">
        <v>3819</v>
      </c>
      <c r="J901" s="3">
        <v>763.87599999999998</v>
      </c>
      <c r="K901" t="s">
        <v>17</v>
      </c>
    </row>
    <row r="902" spans="1:11" x14ac:dyDescent="0.35">
      <c r="A902" t="s">
        <v>2538</v>
      </c>
      <c r="B902" t="s">
        <v>2539</v>
      </c>
      <c r="C902" t="str">
        <f t="shared" si="19"/>
        <v>Saturday-09-2023</v>
      </c>
      <c r="D902" t="s">
        <v>2540</v>
      </c>
      <c r="E902" t="s">
        <v>13</v>
      </c>
      <c r="F902" t="s">
        <v>22</v>
      </c>
      <c r="G902" t="s">
        <v>30</v>
      </c>
      <c r="H902" t="s">
        <v>16</v>
      </c>
      <c r="I902" s="3">
        <v>1178</v>
      </c>
      <c r="J902" s="3">
        <v>235.77800000000002</v>
      </c>
      <c r="K902" t="s">
        <v>24</v>
      </c>
    </row>
    <row r="903" spans="1:11" x14ac:dyDescent="0.35">
      <c r="A903" t="s">
        <v>2541</v>
      </c>
      <c r="C903" t="str">
        <f t="shared" si="19"/>
        <v>Saturday-01-1900</v>
      </c>
      <c r="D903" t="s">
        <v>2542</v>
      </c>
      <c r="E903" t="s">
        <v>112</v>
      </c>
      <c r="F903" t="s">
        <v>22</v>
      </c>
      <c r="G903" t="s">
        <v>15</v>
      </c>
      <c r="H903" t="s">
        <v>16</v>
      </c>
      <c r="I903" s="3">
        <v>4195</v>
      </c>
      <c r="J903" s="3">
        <v>0</v>
      </c>
      <c r="K903" t="s">
        <v>37</v>
      </c>
    </row>
    <row r="904" spans="1:11" x14ac:dyDescent="0.35">
      <c r="A904" t="s">
        <v>2543</v>
      </c>
      <c r="B904" t="s">
        <v>2544</v>
      </c>
      <c r="C904" t="str">
        <f t="shared" si="19"/>
        <v>Tuesday-11-2023</v>
      </c>
      <c r="D904" t="s">
        <v>2545</v>
      </c>
      <c r="E904" t="s">
        <v>53</v>
      </c>
      <c r="F904" t="s">
        <v>143</v>
      </c>
      <c r="G904" t="s">
        <v>30</v>
      </c>
      <c r="H904" t="s">
        <v>16</v>
      </c>
      <c r="I904" s="3">
        <v>1366</v>
      </c>
      <c r="J904" s="3">
        <v>136.637</v>
      </c>
      <c r="K904" t="s">
        <v>24</v>
      </c>
    </row>
    <row r="905" spans="1:11" x14ac:dyDescent="0.35">
      <c r="A905" t="s">
        <v>2546</v>
      </c>
      <c r="B905" t="s">
        <v>2547</v>
      </c>
      <c r="C905" t="str">
        <f t="shared" si="19"/>
        <v>Monday-01-2024</v>
      </c>
      <c r="D905" t="s">
        <v>2548</v>
      </c>
      <c r="E905" t="s">
        <v>13</v>
      </c>
      <c r="F905" t="s">
        <v>143</v>
      </c>
      <c r="G905" t="s">
        <v>30</v>
      </c>
      <c r="H905" t="s">
        <v>31</v>
      </c>
      <c r="I905" s="3">
        <v>1911</v>
      </c>
      <c r="J905" s="3">
        <v>382.36799999999999</v>
      </c>
      <c r="K905" t="s">
        <v>17</v>
      </c>
    </row>
    <row r="906" spans="1:11" x14ac:dyDescent="0.35">
      <c r="A906" t="s">
        <v>2549</v>
      </c>
      <c r="B906" t="s">
        <v>2550</v>
      </c>
      <c r="C906" t="str">
        <f t="shared" si="19"/>
        <v xml:space="preserve"> 05-Jan-2025</v>
      </c>
      <c r="D906" t="s">
        <v>1875</v>
      </c>
      <c r="E906" t="s">
        <v>28</v>
      </c>
      <c r="F906" t="s">
        <v>14</v>
      </c>
      <c r="G906" t="s">
        <v>30</v>
      </c>
      <c r="H906" t="s">
        <v>16</v>
      </c>
      <c r="I906" s="3">
        <v>677</v>
      </c>
      <c r="J906" s="3">
        <v>135.52199999999999</v>
      </c>
      <c r="K906" t="s">
        <v>37</v>
      </c>
    </row>
    <row r="907" spans="1:11" x14ac:dyDescent="0.35">
      <c r="A907" t="s">
        <v>2551</v>
      </c>
      <c r="B907" t="s">
        <v>2552</v>
      </c>
      <c r="C907" t="str">
        <f t="shared" si="19"/>
        <v>Tuesday-03-2023</v>
      </c>
      <c r="D907" t="s">
        <v>2553</v>
      </c>
      <c r="E907" t="s">
        <v>45</v>
      </c>
      <c r="F907" t="s">
        <v>14</v>
      </c>
      <c r="G907" t="s">
        <v>23</v>
      </c>
      <c r="H907" t="s">
        <v>41</v>
      </c>
      <c r="I907" s="3">
        <v>4120</v>
      </c>
      <c r="J907" s="3">
        <v>824.04200000000003</v>
      </c>
      <c r="K907" t="s">
        <v>24</v>
      </c>
    </row>
    <row r="908" spans="1:11" x14ac:dyDescent="0.35">
      <c r="A908" t="s">
        <v>2554</v>
      </c>
      <c r="B908" t="s">
        <v>2555</v>
      </c>
      <c r="C908" t="str">
        <f t="shared" si="19"/>
        <v>Tuesday-01-2024</v>
      </c>
      <c r="D908" t="s">
        <v>2556</v>
      </c>
      <c r="E908" t="s">
        <v>103</v>
      </c>
      <c r="F908" t="s">
        <v>14</v>
      </c>
      <c r="G908" t="s">
        <v>23</v>
      </c>
      <c r="H908" t="s">
        <v>41</v>
      </c>
      <c r="I908" s="3">
        <v>2334</v>
      </c>
      <c r="J908" s="3">
        <v>466.92600000000004</v>
      </c>
      <c r="K908" t="s">
        <v>24</v>
      </c>
    </row>
    <row r="909" spans="1:11" x14ac:dyDescent="0.35">
      <c r="A909" t="s">
        <v>2557</v>
      </c>
      <c r="B909" t="s">
        <v>2558</v>
      </c>
      <c r="C909" t="str">
        <f t="shared" si="19"/>
        <v>Saturday-02-2024</v>
      </c>
      <c r="D909" t="s">
        <v>2559</v>
      </c>
      <c r="E909" t="s">
        <v>108</v>
      </c>
      <c r="F909" t="s">
        <v>29</v>
      </c>
      <c r="G909" t="s">
        <v>15</v>
      </c>
      <c r="H909" t="s">
        <v>31</v>
      </c>
      <c r="I909" s="3">
        <v>1627</v>
      </c>
      <c r="J909" s="3">
        <v>162.798</v>
      </c>
      <c r="K909" t="s">
        <v>17</v>
      </c>
    </row>
    <row r="910" spans="1:11" x14ac:dyDescent="0.35">
      <c r="A910" t="s">
        <v>2560</v>
      </c>
      <c r="B910" t="s">
        <v>2561</v>
      </c>
      <c r="C910" t="str">
        <f t="shared" si="19"/>
        <v>Sunday-07-2023</v>
      </c>
      <c r="D910" t="s">
        <v>2562</v>
      </c>
      <c r="E910" t="s">
        <v>103</v>
      </c>
      <c r="F910" t="s">
        <v>14</v>
      </c>
      <c r="G910" t="s">
        <v>15</v>
      </c>
      <c r="H910" t="s">
        <v>41</v>
      </c>
      <c r="I910" s="3">
        <v>719</v>
      </c>
      <c r="J910" s="3">
        <v>0</v>
      </c>
      <c r="K910" t="s">
        <v>24</v>
      </c>
    </row>
    <row r="911" spans="1:11" x14ac:dyDescent="0.35">
      <c r="A911" t="s">
        <v>2563</v>
      </c>
      <c r="B911" t="s">
        <v>2564</v>
      </c>
      <c r="C911" t="str">
        <f t="shared" si="19"/>
        <v>Tuesday-08-2024</v>
      </c>
      <c r="D911" t="s">
        <v>2565</v>
      </c>
      <c r="E911" t="s">
        <v>13</v>
      </c>
      <c r="F911" t="s">
        <v>86</v>
      </c>
      <c r="G911" t="s">
        <v>15</v>
      </c>
      <c r="H911" t="s">
        <v>31</v>
      </c>
      <c r="I911" s="3">
        <v>4175</v>
      </c>
      <c r="J911" s="3">
        <v>0</v>
      </c>
      <c r="K911" t="s">
        <v>24</v>
      </c>
    </row>
    <row r="912" spans="1:11" x14ac:dyDescent="0.35">
      <c r="A912" t="s">
        <v>2566</v>
      </c>
      <c r="B912" t="s">
        <v>2567</v>
      </c>
      <c r="C912" t="str">
        <f t="shared" si="19"/>
        <v>Wednesday-03-2023</v>
      </c>
      <c r="D912" t="s">
        <v>1643</v>
      </c>
      <c r="E912" t="s">
        <v>112</v>
      </c>
      <c r="F912" t="s">
        <v>14</v>
      </c>
      <c r="G912" t="s">
        <v>30</v>
      </c>
      <c r="H912" t="s">
        <v>16</v>
      </c>
      <c r="I912" s="3">
        <v>2947</v>
      </c>
      <c r="J912" s="3">
        <v>589.596</v>
      </c>
      <c r="K912" t="s">
        <v>37</v>
      </c>
    </row>
    <row r="913" spans="1:11" x14ac:dyDescent="0.35">
      <c r="A913" t="s">
        <v>2568</v>
      </c>
      <c r="B913" t="s">
        <v>2042</v>
      </c>
      <c r="C913" t="str">
        <f t="shared" si="19"/>
        <v>Tuesday-10-2024</v>
      </c>
      <c r="D913" t="s">
        <v>2569</v>
      </c>
      <c r="E913" t="s">
        <v>49</v>
      </c>
      <c r="F913" t="s">
        <v>86</v>
      </c>
      <c r="G913" t="s">
        <v>15</v>
      </c>
      <c r="H913" t="s">
        <v>41</v>
      </c>
      <c r="I913" s="3">
        <v>2259</v>
      </c>
      <c r="J913" s="3">
        <v>225.91300000000001</v>
      </c>
      <c r="K913" t="s">
        <v>17</v>
      </c>
    </row>
    <row r="914" spans="1:11" x14ac:dyDescent="0.35">
      <c r="A914" t="s">
        <v>2570</v>
      </c>
      <c r="B914" t="s">
        <v>2571</v>
      </c>
      <c r="C914" t="str">
        <f t="shared" si="19"/>
        <v>Monday-01-2024</v>
      </c>
      <c r="D914" t="s">
        <v>2572</v>
      </c>
      <c r="E914" t="s">
        <v>13</v>
      </c>
      <c r="F914" t="s">
        <v>22</v>
      </c>
      <c r="G914" t="s">
        <v>30</v>
      </c>
      <c r="H914" t="s">
        <v>31</v>
      </c>
      <c r="I914" s="3">
        <v>1976</v>
      </c>
      <c r="J914" s="3">
        <v>197.60499999999999</v>
      </c>
      <c r="K914" t="s">
        <v>37</v>
      </c>
    </row>
    <row r="915" spans="1:11" x14ac:dyDescent="0.35">
      <c r="A915" t="s">
        <v>2573</v>
      </c>
      <c r="B915" t="s">
        <v>2574</v>
      </c>
      <c r="C915" t="str">
        <f t="shared" si="19"/>
        <v>Monday-08-2024</v>
      </c>
      <c r="E915" t="s">
        <v>35</v>
      </c>
      <c r="F915" t="s">
        <v>29</v>
      </c>
      <c r="G915" t="s">
        <v>23</v>
      </c>
      <c r="H915" t="s">
        <v>31</v>
      </c>
      <c r="I915" s="3">
        <v>4513</v>
      </c>
      <c r="J915" s="3">
        <v>451.32299999999998</v>
      </c>
      <c r="K915" t="s">
        <v>17</v>
      </c>
    </row>
    <row r="916" spans="1:11" x14ac:dyDescent="0.35">
      <c r="A916" t="s">
        <v>2575</v>
      </c>
      <c r="B916" t="s">
        <v>2576</v>
      </c>
      <c r="C916" t="str">
        <f t="shared" si="19"/>
        <v>Tuesday-02-2025</v>
      </c>
      <c r="D916" t="s">
        <v>2577</v>
      </c>
      <c r="E916" t="s">
        <v>53</v>
      </c>
      <c r="F916" t="s">
        <v>62</v>
      </c>
      <c r="G916" t="s">
        <v>23</v>
      </c>
      <c r="H916" t="s">
        <v>41</v>
      </c>
      <c r="I916" s="3">
        <v>2680</v>
      </c>
      <c r="J916" s="3">
        <v>0</v>
      </c>
      <c r="K916" t="s">
        <v>37</v>
      </c>
    </row>
    <row r="917" spans="1:11" x14ac:dyDescent="0.35">
      <c r="A917" t="s">
        <v>2578</v>
      </c>
      <c r="B917" t="s">
        <v>2579</v>
      </c>
      <c r="C917" t="str">
        <f t="shared" si="19"/>
        <v>Tuesday-07-2024</v>
      </c>
      <c r="D917" t="s">
        <v>2580</v>
      </c>
      <c r="E917" t="s">
        <v>108</v>
      </c>
      <c r="F917" t="s">
        <v>22</v>
      </c>
      <c r="G917" t="s">
        <v>15</v>
      </c>
      <c r="H917" t="s">
        <v>31</v>
      </c>
      <c r="I917" s="3">
        <v>4587</v>
      </c>
      <c r="J917" s="3">
        <v>0</v>
      </c>
      <c r="K917" t="s">
        <v>37</v>
      </c>
    </row>
    <row r="918" spans="1:11" x14ac:dyDescent="0.35">
      <c r="A918" t="s">
        <v>2581</v>
      </c>
      <c r="B918" t="s">
        <v>2582</v>
      </c>
      <c r="C918" t="str">
        <f t="shared" si="19"/>
        <v>Sunday-09-2023</v>
      </c>
      <c r="D918" t="s">
        <v>2583</v>
      </c>
      <c r="E918" t="s">
        <v>49</v>
      </c>
      <c r="F918" t="s">
        <v>36</v>
      </c>
      <c r="G918" t="s">
        <v>15</v>
      </c>
      <c r="H918" t="s">
        <v>16</v>
      </c>
      <c r="I918" s="3">
        <v>2066</v>
      </c>
      <c r="J918" s="3">
        <v>413.25799999999998</v>
      </c>
      <c r="K918" t="s">
        <v>17</v>
      </c>
    </row>
    <row r="919" spans="1:11" x14ac:dyDescent="0.35">
      <c r="A919" t="s">
        <v>2584</v>
      </c>
      <c r="C919" t="str">
        <f t="shared" si="19"/>
        <v>Saturday-01-1900</v>
      </c>
      <c r="D919" t="s">
        <v>2030</v>
      </c>
      <c r="E919" t="s">
        <v>28</v>
      </c>
      <c r="F919" t="s">
        <v>86</v>
      </c>
      <c r="G919" t="s">
        <v>30</v>
      </c>
      <c r="H919" t="s">
        <v>16</v>
      </c>
      <c r="I919" s="3">
        <v>2094</v>
      </c>
      <c r="J919" s="3">
        <v>0</v>
      </c>
      <c r="K919" t="s">
        <v>24</v>
      </c>
    </row>
    <row r="920" spans="1:11" x14ac:dyDescent="0.35">
      <c r="A920" t="s">
        <v>2585</v>
      </c>
      <c r="B920" t="s">
        <v>2333</v>
      </c>
      <c r="C920" t="str">
        <f t="shared" si="19"/>
        <v>Saturday-02-2024</v>
      </c>
      <c r="D920" t="s">
        <v>2586</v>
      </c>
      <c r="E920" t="s">
        <v>375</v>
      </c>
      <c r="F920" t="s">
        <v>36</v>
      </c>
      <c r="G920" t="s">
        <v>15</v>
      </c>
      <c r="H920" t="s">
        <v>31</v>
      </c>
      <c r="I920" s="3">
        <v>2110</v>
      </c>
      <c r="J920" s="3">
        <v>140.70466666666667</v>
      </c>
      <c r="K920" t="s">
        <v>37</v>
      </c>
    </row>
    <row r="921" spans="1:11" x14ac:dyDescent="0.35">
      <c r="A921" t="s">
        <v>2587</v>
      </c>
      <c r="B921" t="s">
        <v>2588</v>
      </c>
      <c r="C921" t="str">
        <f t="shared" si="19"/>
        <v>Saturday-11-2024</v>
      </c>
      <c r="D921" t="s">
        <v>2589</v>
      </c>
      <c r="E921" t="s">
        <v>35</v>
      </c>
      <c r="F921" t="s">
        <v>22</v>
      </c>
      <c r="G921" t="s">
        <v>23</v>
      </c>
      <c r="H921" t="s">
        <v>41</v>
      </c>
      <c r="I921" s="3">
        <v>3774</v>
      </c>
      <c r="J921" s="3">
        <v>251.62733333333333</v>
      </c>
      <c r="K921" t="s">
        <v>17</v>
      </c>
    </row>
    <row r="922" spans="1:11" x14ac:dyDescent="0.35">
      <c r="A922" t="s">
        <v>2590</v>
      </c>
      <c r="B922" t="s">
        <v>2591</v>
      </c>
      <c r="C922" t="str">
        <f t="shared" si="19"/>
        <v xml:space="preserve"> 06-22-2023</v>
      </c>
      <c r="D922" t="s">
        <v>2592</v>
      </c>
      <c r="E922" t="s">
        <v>45</v>
      </c>
      <c r="F922" t="s">
        <v>143</v>
      </c>
      <c r="G922" t="s">
        <v>30</v>
      </c>
      <c r="H922" t="s">
        <v>41</v>
      </c>
      <c r="I922" s="3">
        <v>1139</v>
      </c>
      <c r="J922" s="3">
        <v>56.965999999999994</v>
      </c>
      <c r="K922" t="s">
        <v>37</v>
      </c>
    </row>
    <row r="923" spans="1:11" x14ac:dyDescent="0.35">
      <c r="A923" t="s">
        <v>2593</v>
      </c>
      <c r="C923" t="str">
        <f t="shared" si="19"/>
        <v>Saturday-01-1900</v>
      </c>
      <c r="D923" t="s">
        <v>2594</v>
      </c>
      <c r="E923" t="s">
        <v>103</v>
      </c>
      <c r="F923" t="s">
        <v>99</v>
      </c>
      <c r="G923" t="s">
        <v>23</v>
      </c>
      <c r="H923" t="s">
        <v>31</v>
      </c>
      <c r="I923" s="3">
        <v>2006</v>
      </c>
      <c r="J923" s="3">
        <v>0</v>
      </c>
      <c r="K923" t="s">
        <v>24</v>
      </c>
    </row>
    <row r="924" spans="1:11" x14ac:dyDescent="0.35">
      <c r="A924" t="s">
        <v>2595</v>
      </c>
      <c r="B924" t="s">
        <v>2596</v>
      </c>
      <c r="C924" t="str">
        <f t="shared" si="19"/>
        <v>Tuesday-08-2024</v>
      </c>
      <c r="D924" t="s">
        <v>2597</v>
      </c>
      <c r="E924" t="s">
        <v>269</v>
      </c>
      <c r="F924" t="s">
        <v>22</v>
      </c>
      <c r="G924" t="s">
        <v>30</v>
      </c>
      <c r="H924" t="s">
        <v>16</v>
      </c>
      <c r="I924" s="3">
        <v>4888</v>
      </c>
      <c r="J924" s="3">
        <v>0</v>
      </c>
      <c r="K924" t="s">
        <v>37</v>
      </c>
    </row>
    <row r="925" spans="1:11" x14ac:dyDescent="0.35">
      <c r="A925" t="s">
        <v>2598</v>
      </c>
      <c r="B925" t="s">
        <v>414</v>
      </c>
      <c r="C925" t="str">
        <f t="shared" si="19"/>
        <v>Thursday-08-2023</v>
      </c>
      <c r="D925" t="s">
        <v>2104</v>
      </c>
      <c r="E925" t="s">
        <v>53</v>
      </c>
      <c r="F925" t="s">
        <v>14</v>
      </c>
      <c r="G925" t="s">
        <v>30</v>
      </c>
      <c r="H925" t="s">
        <v>41</v>
      </c>
      <c r="I925" s="3">
        <v>3057</v>
      </c>
      <c r="J925" s="3">
        <v>0</v>
      </c>
      <c r="K925" t="s">
        <v>24</v>
      </c>
    </row>
    <row r="926" spans="1:11" x14ac:dyDescent="0.35">
      <c r="A926" t="s">
        <v>2599</v>
      </c>
      <c r="B926" t="s">
        <v>1742</v>
      </c>
      <c r="C926" t="str">
        <f t="shared" si="19"/>
        <v>Wednesday-03-2025</v>
      </c>
      <c r="D926" t="s">
        <v>2600</v>
      </c>
      <c r="E926" t="s">
        <v>112</v>
      </c>
      <c r="F926" t="s">
        <v>36</v>
      </c>
      <c r="G926" t="s">
        <v>30</v>
      </c>
      <c r="H926" t="s">
        <v>16</v>
      </c>
      <c r="I926" s="3">
        <v>1793</v>
      </c>
      <c r="J926" s="3">
        <v>179.321</v>
      </c>
      <c r="K926" t="s">
        <v>17</v>
      </c>
    </row>
    <row r="927" spans="1:11" x14ac:dyDescent="0.35">
      <c r="A927" t="s">
        <v>2601</v>
      </c>
      <c r="B927" t="s">
        <v>2602</v>
      </c>
      <c r="C927" t="str">
        <f t="shared" si="19"/>
        <v xml:space="preserve">08-20-2024 19:47 </v>
      </c>
      <c r="D927" t="s">
        <v>2603</v>
      </c>
      <c r="E927" t="s">
        <v>35</v>
      </c>
      <c r="F927" t="s">
        <v>36</v>
      </c>
      <c r="G927" t="s">
        <v>15</v>
      </c>
      <c r="H927" t="s">
        <v>16</v>
      </c>
      <c r="I927" s="3">
        <v>2388</v>
      </c>
      <c r="J927" s="3">
        <v>119.43499999999999</v>
      </c>
      <c r="K927" t="s">
        <v>37</v>
      </c>
    </row>
    <row r="928" spans="1:11" x14ac:dyDescent="0.35">
      <c r="A928" t="s">
        <v>2604</v>
      </c>
      <c r="B928" t="s">
        <v>2605</v>
      </c>
      <c r="C928" t="str">
        <f t="shared" si="19"/>
        <v>Friday-05-2023</v>
      </c>
      <c r="D928" t="s">
        <v>2606</v>
      </c>
      <c r="E928" t="s">
        <v>21</v>
      </c>
      <c r="F928" t="s">
        <v>29</v>
      </c>
      <c r="G928" t="s">
        <v>23</v>
      </c>
      <c r="H928" t="s">
        <v>31</v>
      </c>
      <c r="I928" s="3">
        <v>3642</v>
      </c>
      <c r="J928" s="3">
        <v>242.85266666666666</v>
      </c>
      <c r="K928" t="s">
        <v>17</v>
      </c>
    </row>
    <row r="929" spans="1:11" x14ac:dyDescent="0.35">
      <c r="A929" t="s">
        <v>2607</v>
      </c>
      <c r="B929" t="s">
        <v>2608</v>
      </c>
      <c r="C929" t="str">
        <f t="shared" si="19"/>
        <v>Wednesday-11-2023</v>
      </c>
      <c r="D929" t="s">
        <v>2609</v>
      </c>
      <c r="E929" t="s">
        <v>13</v>
      </c>
      <c r="F929" t="s">
        <v>36</v>
      </c>
      <c r="G929" t="s">
        <v>23</v>
      </c>
      <c r="H929" t="s">
        <v>31</v>
      </c>
      <c r="I929" s="3">
        <v>2566</v>
      </c>
      <c r="J929" s="3">
        <v>513.346</v>
      </c>
      <c r="K929" t="s">
        <v>17</v>
      </c>
    </row>
    <row r="930" spans="1:11" x14ac:dyDescent="0.35">
      <c r="A930" t="s">
        <v>2610</v>
      </c>
      <c r="B930" t="s">
        <v>2611</v>
      </c>
      <c r="C930" t="str">
        <f t="shared" si="19"/>
        <v xml:space="preserve"> 01 June 2025 08:52</v>
      </c>
      <c r="D930" t="s">
        <v>2612</v>
      </c>
      <c r="E930" t="s">
        <v>112</v>
      </c>
      <c r="F930" t="s">
        <v>14</v>
      </c>
      <c r="G930" t="s">
        <v>15</v>
      </c>
      <c r="H930" t="s">
        <v>16</v>
      </c>
      <c r="I930" s="3">
        <v>4471</v>
      </c>
      <c r="J930" s="3">
        <v>0</v>
      </c>
      <c r="K930" t="s">
        <v>24</v>
      </c>
    </row>
    <row r="931" spans="1:11" x14ac:dyDescent="0.35">
      <c r="A931" t="s">
        <v>2613</v>
      </c>
      <c r="C931" t="str">
        <f t="shared" si="19"/>
        <v>Saturday-01-1900</v>
      </c>
      <c r="D931" t="s">
        <v>2614</v>
      </c>
      <c r="E931" t="s">
        <v>45</v>
      </c>
      <c r="F931" t="s">
        <v>86</v>
      </c>
      <c r="G931" t="s">
        <v>30</v>
      </c>
      <c r="H931" t="s">
        <v>41</v>
      </c>
      <c r="I931" s="3">
        <v>1130</v>
      </c>
      <c r="J931" s="3">
        <v>0</v>
      </c>
      <c r="K931" t="s">
        <v>24</v>
      </c>
    </row>
    <row r="932" spans="1:11" x14ac:dyDescent="0.35">
      <c r="A932" t="s">
        <v>2615</v>
      </c>
      <c r="B932" t="s">
        <v>2616</v>
      </c>
      <c r="C932" t="str">
        <f t="shared" si="19"/>
        <v>Wednesday-05-2024</v>
      </c>
      <c r="D932" t="s">
        <v>2617</v>
      </c>
      <c r="E932" t="s">
        <v>108</v>
      </c>
      <c r="F932" t="s">
        <v>14</v>
      </c>
      <c r="G932" t="s">
        <v>15</v>
      </c>
      <c r="H932" t="s">
        <v>16</v>
      </c>
      <c r="I932" s="3">
        <v>381</v>
      </c>
      <c r="J932" s="3">
        <v>76.225999999999999</v>
      </c>
      <c r="K932" t="s">
        <v>17</v>
      </c>
    </row>
    <row r="933" spans="1:11" x14ac:dyDescent="0.35">
      <c r="A933" t="s">
        <v>2618</v>
      </c>
      <c r="B933" t="s">
        <v>2619</v>
      </c>
      <c r="C933" t="str">
        <f t="shared" si="19"/>
        <v>Thursday-08-2023</v>
      </c>
      <c r="D933" t="s">
        <v>2620</v>
      </c>
      <c r="E933" t="s">
        <v>13</v>
      </c>
      <c r="F933" t="s">
        <v>57</v>
      </c>
      <c r="G933" t="s">
        <v>15</v>
      </c>
      <c r="H933" t="s">
        <v>41</v>
      </c>
      <c r="I933" s="3">
        <v>2030</v>
      </c>
      <c r="J933" s="3">
        <v>101.509</v>
      </c>
      <c r="K933" t="s">
        <v>24</v>
      </c>
    </row>
    <row r="934" spans="1:11" x14ac:dyDescent="0.35">
      <c r="A934" t="s">
        <v>2621</v>
      </c>
      <c r="C934" t="str">
        <f t="shared" si="19"/>
        <v>Saturday-01-1900</v>
      </c>
      <c r="D934" t="s">
        <v>1829</v>
      </c>
      <c r="E934" t="s">
        <v>45</v>
      </c>
      <c r="F934" t="s">
        <v>14</v>
      </c>
      <c r="G934" t="s">
        <v>30</v>
      </c>
      <c r="H934" t="s">
        <v>16</v>
      </c>
      <c r="I934" s="3">
        <v>1281</v>
      </c>
      <c r="J934" s="3">
        <v>64.067499999999995</v>
      </c>
      <c r="K934" t="s">
        <v>24</v>
      </c>
    </row>
    <row r="935" spans="1:11" x14ac:dyDescent="0.35">
      <c r="A935" t="s">
        <v>2622</v>
      </c>
      <c r="B935" t="s">
        <v>213</v>
      </c>
      <c r="C935" t="str">
        <f t="shared" si="19"/>
        <v>Saturday-04-2024</v>
      </c>
      <c r="D935" t="s">
        <v>2623</v>
      </c>
      <c r="E935" t="s">
        <v>108</v>
      </c>
      <c r="F935" t="s">
        <v>86</v>
      </c>
      <c r="G935" t="s">
        <v>15</v>
      </c>
      <c r="H935" t="s">
        <v>41</v>
      </c>
      <c r="I935" s="3">
        <v>3573</v>
      </c>
      <c r="J935" s="3">
        <v>714.63199999999995</v>
      </c>
      <c r="K935" t="s">
        <v>24</v>
      </c>
    </row>
    <row r="936" spans="1:11" x14ac:dyDescent="0.35">
      <c r="A936" t="s">
        <v>2624</v>
      </c>
      <c r="B936" t="s">
        <v>2625</v>
      </c>
      <c r="C936" t="str">
        <f t="shared" si="19"/>
        <v>Monday-07-2023</v>
      </c>
      <c r="D936" t="s">
        <v>2626</v>
      </c>
      <c r="E936" t="s">
        <v>108</v>
      </c>
      <c r="F936" t="s">
        <v>36</v>
      </c>
      <c r="G936" t="s">
        <v>30</v>
      </c>
      <c r="H936" t="s">
        <v>41</v>
      </c>
      <c r="I936" s="3">
        <v>4977</v>
      </c>
      <c r="J936" s="3">
        <v>0</v>
      </c>
      <c r="K936" t="s">
        <v>37</v>
      </c>
    </row>
    <row r="937" spans="1:11" x14ac:dyDescent="0.35">
      <c r="A937" t="s">
        <v>2627</v>
      </c>
      <c r="B937" t="s">
        <v>2628</v>
      </c>
      <c r="C937" t="str">
        <f t="shared" si="19"/>
        <v>Friday-03-2023</v>
      </c>
      <c r="D937" t="s">
        <v>2629</v>
      </c>
      <c r="E937" t="s">
        <v>21</v>
      </c>
      <c r="F937" t="s">
        <v>29</v>
      </c>
      <c r="G937" t="s">
        <v>15</v>
      </c>
      <c r="H937" t="s">
        <v>41</v>
      </c>
      <c r="I937" s="3">
        <v>3424</v>
      </c>
      <c r="J937" s="3">
        <v>228.32866666666666</v>
      </c>
      <c r="K937" t="s">
        <v>37</v>
      </c>
    </row>
    <row r="938" spans="1:11" x14ac:dyDescent="0.35">
      <c r="A938" t="s">
        <v>2630</v>
      </c>
      <c r="B938" t="s">
        <v>2631</v>
      </c>
      <c r="C938" t="str">
        <f t="shared" si="19"/>
        <v>Monday-08-2023</v>
      </c>
      <c r="D938" t="s">
        <v>2632</v>
      </c>
      <c r="E938" t="s">
        <v>108</v>
      </c>
      <c r="F938" t="s">
        <v>29</v>
      </c>
      <c r="G938" t="s">
        <v>30</v>
      </c>
      <c r="H938" t="s">
        <v>16</v>
      </c>
      <c r="I938" s="3">
        <v>2881</v>
      </c>
      <c r="J938" s="3">
        <v>288.14800000000002</v>
      </c>
      <c r="K938" t="s">
        <v>24</v>
      </c>
    </row>
    <row r="939" spans="1:11" x14ac:dyDescent="0.35">
      <c r="A939" t="s">
        <v>2633</v>
      </c>
      <c r="B939" t="s">
        <v>2634</v>
      </c>
      <c r="C939" t="str">
        <f t="shared" si="19"/>
        <v>Saturday-07-2023</v>
      </c>
      <c r="D939" t="s">
        <v>2635</v>
      </c>
      <c r="E939" t="s">
        <v>103</v>
      </c>
      <c r="F939" t="s">
        <v>14</v>
      </c>
      <c r="G939" t="s">
        <v>15</v>
      </c>
      <c r="H939" t="s">
        <v>31</v>
      </c>
      <c r="I939" s="3">
        <v>4606</v>
      </c>
      <c r="J939" s="3">
        <v>460.68199999999996</v>
      </c>
      <c r="K939" t="s">
        <v>24</v>
      </c>
    </row>
    <row r="940" spans="1:11" x14ac:dyDescent="0.35">
      <c r="A940" t="s">
        <v>2636</v>
      </c>
      <c r="B940" t="s">
        <v>2637</v>
      </c>
      <c r="C940" t="str">
        <f t="shared" si="19"/>
        <v>Monday-01-2025</v>
      </c>
      <c r="D940" t="s">
        <v>2638</v>
      </c>
      <c r="E940" t="s">
        <v>269</v>
      </c>
      <c r="F940" t="s">
        <v>86</v>
      </c>
      <c r="G940" t="s">
        <v>30</v>
      </c>
      <c r="H940" t="s">
        <v>41</v>
      </c>
      <c r="I940" s="3">
        <v>2236</v>
      </c>
      <c r="J940" s="3">
        <v>447.20200000000006</v>
      </c>
      <c r="K940" t="s">
        <v>24</v>
      </c>
    </row>
    <row r="941" spans="1:11" x14ac:dyDescent="0.35">
      <c r="A941" t="s">
        <v>2639</v>
      </c>
      <c r="B941" t="s">
        <v>2640</v>
      </c>
      <c r="C941" t="str">
        <f t="shared" si="19"/>
        <v>Thursday-01-2025</v>
      </c>
      <c r="D941" t="s">
        <v>2641</v>
      </c>
      <c r="E941" t="s">
        <v>53</v>
      </c>
      <c r="F941" t="s">
        <v>14</v>
      </c>
      <c r="G941" t="s">
        <v>23</v>
      </c>
      <c r="H941" t="s">
        <v>31</v>
      </c>
      <c r="I941" s="3">
        <v>1334</v>
      </c>
      <c r="J941" s="3">
        <v>133.43</v>
      </c>
      <c r="K941" t="s">
        <v>37</v>
      </c>
    </row>
    <row r="942" spans="1:11" x14ac:dyDescent="0.35">
      <c r="A942" t="s">
        <v>2642</v>
      </c>
      <c r="B942" t="s">
        <v>2643</v>
      </c>
      <c r="C942" t="str">
        <f t="shared" si="19"/>
        <v>Thursday-07-2023</v>
      </c>
      <c r="D942" t="s">
        <v>2644</v>
      </c>
      <c r="E942" t="s">
        <v>253</v>
      </c>
      <c r="F942" t="s">
        <v>66</v>
      </c>
      <c r="G942" t="s">
        <v>23</v>
      </c>
      <c r="H942" t="s">
        <v>41</v>
      </c>
      <c r="I942" s="3">
        <v>1917</v>
      </c>
      <c r="J942" s="3">
        <v>383.55599999999998</v>
      </c>
      <c r="K942" t="s">
        <v>17</v>
      </c>
    </row>
    <row r="943" spans="1:11" x14ac:dyDescent="0.35">
      <c r="A943" t="s">
        <v>2645</v>
      </c>
      <c r="B943" t="s">
        <v>2646</v>
      </c>
      <c r="C943" t="str">
        <f t="shared" si="19"/>
        <v>Tuesday-01-2024</v>
      </c>
      <c r="D943" t="s">
        <v>2647</v>
      </c>
      <c r="E943" t="s">
        <v>45</v>
      </c>
      <c r="F943" t="s">
        <v>22</v>
      </c>
      <c r="G943" t="s">
        <v>15</v>
      </c>
      <c r="H943" t="s">
        <v>41</v>
      </c>
      <c r="I943" s="3">
        <v>2098</v>
      </c>
      <c r="J943" s="3">
        <v>104.934</v>
      </c>
      <c r="K943" t="s">
        <v>24</v>
      </c>
    </row>
    <row r="944" spans="1:11" x14ac:dyDescent="0.35">
      <c r="A944" t="s">
        <v>2648</v>
      </c>
      <c r="B944" t="s">
        <v>820</v>
      </c>
      <c r="C944" t="str">
        <f t="shared" si="19"/>
        <v>Tuesday-05-2023</v>
      </c>
      <c r="D944" t="s">
        <v>2649</v>
      </c>
      <c r="E944" t="s">
        <v>13</v>
      </c>
      <c r="F944" t="s">
        <v>14</v>
      </c>
      <c r="G944" t="s">
        <v>15</v>
      </c>
      <c r="H944" t="s">
        <v>41</v>
      </c>
      <c r="I944" s="3">
        <v>1124</v>
      </c>
      <c r="J944" s="3">
        <v>74.979333333333344</v>
      </c>
      <c r="K944" t="s">
        <v>24</v>
      </c>
    </row>
    <row r="945" spans="1:11" x14ac:dyDescent="0.35">
      <c r="A945" t="s">
        <v>2650</v>
      </c>
      <c r="C945" t="str">
        <f t="shared" si="19"/>
        <v>Saturday-01-1900</v>
      </c>
      <c r="D945" t="s">
        <v>2651</v>
      </c>
      <c r="E945" t="s">
        <v>375</v>
      </c>
      <c r="F945" t="s">
        <v>14</v>
      </c>
      <c r="G945" t="s">
        <v>30</v>
      </c>
      <c r="H945" t="s">
        <v>16</v>
      </c>
      <c r="I945" s="3">
        <v>669</v>
      </c>
      <c r="J945" s="3">
        <v>66.957000000000008</v>
      </c>
      <c r="K945" t="s">
        <v>24</v>
      </c>
    </row>
    <row r="946" spans="1:11" x14ac:dyDescent="0.35">
      <c r="A946" t="s">
        <v>2652</v>
      </c>
      <c r="B946" t="s">
        <v>1953</v>
      </c>
      <c r="C946" t="str">
        <f t="shared" si="19"/>
        <v>Thursday-06-2023</v>
      </c>
      <c r="D946" t="s">
        <v>2653</v>
      </c>
      <c r="E946" t="s">
        <v>35</v>
      </c>
      <c r="F946" t="s">
        <v>22</v>
      </c>
      <c r="G946" t="s">
        <v>23</v>
      </c>
      <c r="H946" t="s">
        <v>41</v>
      </c>
      <c r="I946" s="3">
        <v>3677</v>
      </c>
      <c r="J946" s="3">
        <v>735.59199999999998</v>
      </c>
      <c r="K946" t="s">
        <v>37</v>
      </c>
    </row>
    <row r="947" spans="1:11" x14ac:dyDescent="0.35">
      <c r="A947" t="s">
        <v>2654</v>
      </c>
      <c r="B947" t="s">
        <v>2655</v>
      </c>
      <c r="C947" t="str">
        <f t="shared" si="19"/>
        <v>Sunday-04-2025</v>
      </c>
      <c r="D947" t="s">
        <v>2656</v>
      </c>
      <c r="E947" t="s">
        <v>35</v>
      </c>
      <c r="F947" t="s">
        <v>36</v>
      </c>
      <c r="G947" t="s">
        <v>30</v>
      </c>
      <c r="H947" t="s">
        <v>41</v>
      </c>
      <c r="I947" s="3">
        <v>4105</v>
      </c>
      <c r="J947" s="3">
        <v>0</v>
      </c>
      <c r="K947" t="s">
        <v>37</v>
      </c>
    </row>
    <row r="948" spans="1:11" x14ac:dyDescent="0.35">
      <c r="A948" t="s">
        <v>2657</v>
      </c>
      <c r="B948" t="s">
        <v>2658</v>
      </c>
      <c r="C948" t="str">
        <f t="shared" si="19"/>
        <v>Monday-06-2024</v>
      </c>
      <c r="D948" t="s">
        <v>2659</v>
      </c>
      <c r="E948" t="s">
        <v>45</v>
      </c>
      <c r="F948" t="s">
        <v>36</v>
      </c>
      <c r="G948" t="s">
        <v>23</v>
      </c>
      <c r="H948" t="s">
        <v>41</v>
      </c>
      <c r="I948" s="3">
        <v>530</v>
      </c>
      <c r="J948" s="3">
        <v>106.152</v>
      </c>
      <c r="K948" t="s">
        <v>37</v>
      </c>
    </row>
    <row r="949" spans="1:11" x14ac:dyDescent="0.35">
      <c r="A949" t="s">
        <v>2660</v>
      </c>
      <c r="B949" t="s">
        <v>1551</v>
      </c>
      <c r="C949" t="str">
        <f t="shared" si="19"/>
        <v>Saturday-05-2025</v>
      </c>
      <c r="D949" t="s">
        <v>2661</v>
      </c>
      <c r="E949" t="s">
        <v>79</v>
      </c>
      <c r="F949" t="s">
        <v>14</v>
      </c>
      <c r="G949" t="s">
        <v>23</v>
      </c>
      <c r="H949" t="s">
        <v>16</v>
      </c>
      <c r="I949" s="3">
        <v>4161</v>
      </c>
      <c r="J949" s="3">
        <v>0</v>
      </c>
      <c r="K949" t="s">
        <v>17</v>
      </c>
    </row>
    <row r="950" spans="1:11" x14ac:dyDescent="0.35">
      <c r="A950" t="s">
        <v>2662</v>
      </c>
      <c r="B950" t="s">
        <v>2663</v>
      </c>
      <c r="C950" t="str">
        <f t="shared" si="19"/>
        <v>Thursday-08-2023</v>
      </c>
      <c r="D950" t="s">
        <v>2664</v>
      </c>
      <c r="E950" t="s">
        <v>45</v>
      </c>
      <c r="F950" t="s">
        <v>36</v>
      </c>
      <c r="G950" t="s">
        <v>30</v>
      </c>
      <c r="H950" t="s">
        <v>16</v>
      </c>
      <c r="I950" s="3">
        <v>1017</v>
      </c>
      <c r="J950" s="3">
        <v>101.762</v>
      </c>
      <c r="K950" t="s">
        <v>17</v>
      </c>
    </row>
    <row r="951" spans="1:11" x14ac:dyDescent="0.35">
      <c r="A951" t="s">
        <v>2665</v>
      </c>
      <c r="B951" t="s">
        <v>2666</v>
      </c>
      <c r="C951" t="str">
        <f t="shared" si="19"/>
        <v>Monday-10-2023</v>
      </c>
      <c r="D951" t="s">
        <v>287</v>
      </c>
      <c r="E951" t="s">
        <v>112</v>
      </c>
      <c r="F951" t="s">
        <v>62</v>
      </c>
      <c r="G951" t="s">
        <v>23</v>
      </c>
      <c r="H951" t="s">
        <v>16</v>
      </c>
      <c r="I951" s="3">
        <v>1750</v>
      </c>
      <c r="J951" s="3">
        <v>0</v>
      </c>
      <c r="K951" t="s">
        <v>24</v>
      </c>
    </row>
    <row r="952" spans="1:11" x14ac:dyDescent="0.35">
      <c r="A952" t="s">
        <v>2667</v>
      </c>
      <c r="B952" t="s">
        <v>2668</v>
      </c>
      <c r="C952" t="str">
        <f t="shared" si="19"/>
        <v>Tuesday-03-2024</v>
      </c>
      <c r="D952" t="s">
        <v>2669</v>
      </c>
      <c r="E952" t="s">
        <v>108</v>
      </c>
      <c r="F952" t="s">
        <v>22</v>
      </c>
      <c r="G952" t="s">
        <v>30</v>
      </c>
      <c r="H952" t="s">
        <v>31</v>
      </c>
      <c r="I952" s="3">
        <v>775</v>
      </c>
      <c r="J952" s="3">
        <v>77.516999999999996</v>
      </c>
      <c r="K952" t="s">
        <v>37</v>
      </c>
    </row>
    <row r="953" spans="1:11" x14ac:dyDescent="0.35">
      <c r="A953" t="s">
        <v>2670</v>
      </c>
      <c r="B953" t="s">
        <v>2671</v>
      </c>
      <c r="C953" t="str">
        <f t="shared" si="19"/>
        <v>Friday-03-2023</v>
      </c>
      <c r="D953" t="s">
        <v>2672</v>
      </c>
      <c r="E953" t="s">
        <v>28</v>
      </c>
      <c r="F953" t="s">
        <v>143</v>
      </c>
      <c r="G953" t="s">
        <v>15</v>
      </c>
      <c r="H953" t="s">
        <v>41</v>
      </c>
      <c r="I953" s="3">
        <v>1950</v>
      </c>
      <c r="J953" s="3">
        <v>195.077</v>
      </c>
      <c r="K953" t="s">
        <v>24</v>
      </c>
    </row>
    <row r="954" spans="1:11" x14ac:dyDescent="0.35">
      <c r="A954" t="s">
        <v>2673</v>
      </c>
      <c r="C954" t="str">
        <f t="shared" si="19"/>
        <v>Saturday-01-1900</v>
      </c>
      <c r="D954" t="s">
        <v>2674</v>
      </c>
      <c r="E954" t="s">
        <v>112</v>
      </c>
      <c r="F954" t="s">
        <v>36</v>
      </c>
      <c r="G954" t="s">
        <v>30</v>
      </c>
      <c r="H954" t="s">
        <v>41</v>
      </c>
      <c r="I954" s="3">
        <v>1631</v>
      </c>
      <c r="J954" s="3">
        <v>326.27800000000002</v>
      </c>
      <c r="K954" t="s">
        <v>37</v>
      </c>
    </row>
    <row r="955" spans="1:11" x14ac:dyDescent="0.35">
      <c r="A955" t="s">
        <v>2675</v>
      </c>
      <c r="B955" t="s">
        <v>2676</v>
      </c>
      <c r="C955" t="str">
        <f t="shared" si="19"/>
        <v>Friday-01-2024</v>
      </c>
      <c r="D955" t="s">
        <v>2677</v>
      </c>
      <c r="E955" t="s">
        <v>28</v>
      </c>
      <c r="F955" t="s">
        <v>36</v>
      </c>
      <c r="G955" t="s">
        <v>15</v>
      </c>
      <c r="H955" t="s">
        <v>31</v>
      </c>
      <c r="I955" s="3">
        <v>4632</v>
      </c>
      <c r="J955" s="3">
        <v>463.26499999999999</v>
      </c>
      <c r="K955" t="s">
        <v>24</v>
      </c>
    </row>
    <row r="956" spans="1:11" x14ac:dyDescent="0.35">
      <c r="A956" t="s">
        <v>2678</v>
      </c>
      <c r="B956" t="s">
        <v>2679</v>
      </c>
      <c r="C956" t="str">
        <f t="shared" si="19"/>
        <v>Sunday-08-2024</v>
      </c>
      <c r="D956" t="s">
        <v>2680</v>
      </c>
      <c r="E956" t="s">
        <v>45</v>
      </c>
      <c r="F956" t="s">
        <v>36</v>
      </c>
      <c r="G956" t="s">
        <v>15</v>
      </c>
      <c r="H956" t="s">
        <v>16</v>
      </c>
      <c r="I956" s="3">
        <v>3504</v>
      </c>
      <c r="J956" s="3">
        <v>0</v>
      </c>
      <c r="K956" t="s">
        <v>17</v>
      </c>
    </row>
    <row r="957" spans="1:11" x14ac:dyDescent="0.35">
      <c r="A957" t="s">
        <v>2681</v>
      </c>
      <c r="B957" t="s">
        <v>2682</v>
      </c>
      <c r="C957" t="str">
        <f t="shared" si="19"/>
        <v>Saturday-07-2023</v>
      </c>
      <c r="D957" t="s">
        <v>2683</v>
      </c>
      <c r="E957" t="s">
        <v>49</v>
      </c>
      <c r="F957" t="s">
        <v>86</v>
      </c>
      <c r="G957" t="s">
        <v>23</v>
      </c>
      <c r="H957" t="s">
        <v>16</v>
      </c>
      <c r="I957" s="3">
        <v>522</v>
      </c>
      <c r="J957" s="3">
        <v>104.43800000000002</v>
      </c>
      <c r="K957" t="s">
        <v>37</v>
      </c>
    </row>
    <row r="958" spans="1:11" x14ac:dyDescent="0.35">
      <c r="A958" t="s">
        <v>2684</v>
      </c>
      <c r="B958" t="s">
        <v>2685</v>
      </c>
      <c r="C958" t="str">
        <f t="shared" si="19"/>
        <v>Sunday-09-2024</v>
      </c>
      <c r="D958" t="s">
        <v>2686</v>
      </c>
      <c r="E958" t="s">
        <v>112</v>
      </c>
      <c r="F958" t="s">
        <v>86</v>
      </c>
      <c r="G958" t="s">
        <v>15</v>
      </c>
      <c r="H958" t="s">
        <v>41</v>
      </c>
      <c r="I958" s="3">
        <v>2299</v>
      </c>
      <c r="J958" s="3">
        <v>459.94600000000003</v>
      </c>
      <c r="K958" t="s">
        <v>17</v>
      </c>
    </row>
    <row r="959" spans="1:11" x14ac:dyDescent="0.35">
      <c r="A959" t="s">
        <v>2687</v>
      </c>
      <c r="B959" t="s">
        <v>2688</v>
      </c>
      <c r="C959" t="str">
        <f t="shared" si="19"/>
        <v>Friday-10-2025</v>
      </c>
      <c r="D959" t="s">
        <v>2689</v>
      </c>
      <c r="E959" t="s">
        <v>28</v>
      </c>
      <c r="F959" t="s">
        <v>36</v>
      </c>
      <c r="G959" t="s">
        <v>15</v>
      </c>
      <c r="H959" t="s">
        <v>31</v>
      </c>
      <c r="I959" s="3">
        <v>4672</v>
      </c>
      <c r="J959" s="3">
        <v>233.63150000000002</v>
      </c>
      <c r="K959" t="s">
        <v>37</v>
      </c>
    </row>
    <row r="960" spans="1:11" x14ac:dyDescent="0.35">
      <c r="A960" t="s">
        <v>2690</v>
      </c>
      <c r="B960" t="s">
        <v>2691</v>
      </c>
      <c r="C960" t="str">
        <f t="shared" si="19"/>
        <v>Wednesday-07-2024</v>
      </c>
      <c r="D960" t="s">
        <v>2400</v>
      </c>
      <c r="E960" t="s">
        <v>112</v>
      </c>
      <c r="F960" t="s">
        <v>86</v>
      </c>
      <c r="G960" t="s">
        <v>30</v>
      </c>
      <c r="H960" t="s">
        <v>16</v>
      </c>
      <c r="I960" s="3">
        <v>1748</v>
      </c>
      <c r="J960" s="3">
        <v>349.69400000000002</v>
      </c>
      <c r="K960" t="s">
        <v>37</v>
      </c>
    </row>
    <row r="961" spans="1:11" x14ac:dyDescent="0.35">
      <c r="A961" t="s">
        <v>2692</v>
      </c>
      <c r="B961" t="s">
        <v>2693</v>
      </c>
      <c r="C961" t="str">
        <f t="shared" si="19"/>
        <v>Wednesday-11-2024</v>
      </c>
      <c r="D961" t="s">
        <v>2694</v>
      </c>
      <c r="E961" t="s">
        <v>45</v>
      </c>
      <c r="F961" t="s">
        <v>29</v>
      </c>
      <c r="G961" t="s">
        <v>15</v>
      </c>
      <c r="H961" t="s">
        <v>16</v>
      </c>
      <c r="I961" s="3">
        <v>4978</v>
      </c>
      <c r="J961" s="3">
        <v>0</v>
      </c>
      <c r="K961" t="s">
        <v>37</v>
      </c>
    </row>
    <row r="962" spans="1:11" x14ac:dyDescent="0.35">
      <c r="A962" t="s">
        <v>2695</v>
      </c>
      <c r="B962" t="s">
        <v>2696</v>
      </c>
      <c r="C962" t="str">
        <f t="shared" si="19"/>
        <v xml:space="preserve">05-24-2023 </v>
      </c>
      <c r="D962" t="s">
        <v>2697</v>
      </c>
      <c r="E962" t="s">
        <v>45</v>
      </c>
      <c r="F962" t="s">
        <v>29</v>
      </c>
      <c r="G962" t="s">
        <v>15</v>
      </c>
      <c r="H962" t="s">
        <v>41</v>
      </c>
      <c r="I962" s="3">
        <v>1721</v>
      </c>
      <c r="J962" s="3">
        <v>172.17699999999999</v>
      </c>
      <c r="K962" t="s">
        <v>17</v>
      </c>
    </row>
    <row r="963" spans="1:11" x14ac:dyDescent="0.35">
      <c r="A963" t="s">
        <v>2698</v>
      </c>
      <c r="B963" t="s">
        <v>2699</v>
      </c>
      <c r="C963" t="str">
        <f t="shared" ref="C963:C1001" si="20">TEXT(B963,"dddd-mm-yyyy")</f>
        <v>Thursday-04-2023</v>
      </c>
      <c r="D963" t="s">
        <v>2700</v>
      </c>
      <c r="E963" t="s">
        <v>13</v>
      </c>
      <c r="F963" t="s">
        <v>22</v>
      </c>
      <c r="G963" t="s">
        <v>23</v>
      </c>
      <c r="H963" t="s">
        <v>31</v>
      </c>
      <c r="I963" s="3">
        <v>3355</v>
      </c>
      <c r="J963" s="3">
        <v>223.73266666666666</v>
      </c>
      <c r="K963" t="s">
        <v>24</v>
      </c>
    </row>
    <row r="964" spans="1:11" x14ac:dyDescent="0.35">
      <c r="A964" t="s">
        <v>2701</v>
      </c>
      <c r="B964" t="s">
        <v>2702</v>
      </c>
      <c r="C964" t="str">
        <f t="shared" si="20"/>
        <v>Wednesday-10-2024</v>
      </c>
      <c r="D964" t="s">
        <v>2703</v>
      </c>
      <c r="E964" t="s">
        <v>108</v>
      </c>
      <c r="F964" t="s">
        <v>29</v>
      </c>
      <c r="G964" t="s">
        <v>15</v>
      </c>
      <c r="H964" t="s">
        <v>16</v>
      </c>
      <c r="I964" s="3">
        <v>2512</v>
      </c>
      <c r="J964" s="3">
        <v>167.47</v>
      </c>
      <c r="K964" t="s">
        <v>24</v>
      </c>
    </row>
    <row r="965" spans="1:11" x14ac:dyDescent="0.35">
      <c r="A965" t="s">
        <v>2704</v>
      </c>
      <c r="B965" t="s">
        <v>2705</v>
      </c>
      <c r="C965" t="str">
        <f t="shared" si="20"/>
        <v>Sunday-04-2023</v>
      </c>
      <c r="D965" t="s">
        <v>2706</v>
      </c>
      <c r="E965" t="s">
        <v>49</v>
      </c>
      <c r="F965" t="s">
        <v>14</v>
      </c>
      <c r="G965" t="s">
        <v>23</v>
      </c>
      <c r="H965" t="s">
        <v>16</v>
      </c>
      <c r="I965" s="3">
        <v>2662</v>
      </c>
      <c r="J965" s="3">
        <v>133.10499999999999</v>
      </c>
      <c r="K965" t="s">
        <v>24</v>
      </c>
    </row>
    <row r="966" spans="1:11" x14ac:dyDescent="0.35">
      <c r="A966" t="s">
        <v>2707</v>
      </c>
      <c r="B966" t="s">
        <v>2708</v>
      </c>
      <c r="C966" t="str">
        <f t="shared" si="20"/>
        <v>Monday-07-2024</v>
      </c>
      <c r="D966" t="s">
        <v>2709</v>
      </c>
      <c r="E966" t="s">
        <v>35</v>
      </c>
      <c r="F966" t="s">
        <v>36</v>
      </c>
      <c r="G966" t="s">
        <v>30</v>
      </c>
      <c r="H966" t="s">
        <v>31</v>
      </c>
      <c r="I966" s="3">
        <v>1719</v>
      </c>
      <c r="J966" s="3">
        <v>343.928</v>
      </c>
      <c r="K966" t="s">
        <v>24</v>
      </c>
    </row>
    <row r="967" spans="1:11" x14ac:dyDescent="0.35">
      <c r="A967" t="s">
        <v>2710</v>
      </c>
      <c r="B967" t="s">
        <v>2330</v>
      </c>
      <c r="C967" t="str">
        <f t="shared" si="20"/>
        <v>Thursday-03-2023</v>
      </c>
      <c r="D967" t="s">
        <v>919</v>
      </c>
      <c r="E967" t="s">
        <v>35</v>
      </c>
      <c r="F967" t="s">
        <v>62</v>
      </c>
      <c r="G967" t="s">
        <v>23</v>
      </c>
      <c r="H967" t="s">
        <v>31</v>
      </c>
      <c r="I967" s="3">
        <v>4307</v>
      </c>
      <c r="J967" s="3">
        <v>430.745</v>
      </c>
      <c r="K967" t="s">
        <v>37</v>
      </c>
    </row>
    <row r="968" spans="1:11" x14ac:dyDescent="0.35">
      <c r="A968" t="s">
        <v>2711</v>
      </c>
      <c r="B968" t="s">
        <v>2712</v>
      </c>
      <c r="C968" t="str">
        <f t="shared" si="20"/>
        <v>Monday-01-2024</v>
      </c>
      <c r="D968" t="s">
        <v>2713</v>
      </c>
      <c r="E968" t="s">
        <v>28</v>
      </c>
      <c r="F968" t="s">
        <v>29</v>
      </c>
      <c r="G968" t="s">
        <v>15</v>
      </c>
      <c r="H968" t="s">
        <v>31</v>
      </c>
      <c r="I968" s="3">
        <v>880</v>
      </c>
      <c r="J968" s="3">
        <v>44.039499999999997</v>
      </c>
      <c r="K968" t="s">
        <v>24</v>
      </c>
    </row>
    <row r="969" spans="1:11" x14ac:dyDescent="0.35">
      <c r="A969" t="s">
        <v>2714</v>
      </c>
      <c r="B969" t="s">
        <v>2715</v>
      </c>
      <c r="C969" t="str">
        <f t="shared" si="20"/>
        <v>Friday-01-2024</v>
      </c>
      <c r="E969" t="s">
        <v>35</v>
      </c>
      <c r="F969" t="s">
        <v>14</v>
      </c>
      <c r="G969" t="s">
        <v>23</v>
      </c>
      <c r="H969" t="s">
        <v>16</v>
      </c>
      <c r="I969" s="3">
        <v>3088</v>
      </c>
      <c r="J969" s="3">
        <v>205.88266666666667</v>
      </c>
      <c r="K969" t="s">
        <v>17</v>
      </c>
    </row>
    <row r="970" spans="1:11" x14ac:dyDescent="0.35">
      <c r="A970" t="s">
        <v>2716</v>
      </c>
      <c r="B970" t="s">
        <v>2717</v>
      </c>
      <c r="C970" t="str">
        <f t="shared" si="20"/>
        <v>Tuesday-10-2023</v>
      </c>
      <c r="D970" t="s">
        <v>2718</v>
      </c>
      <c r="E970" t="s">
        <v>79</v>
      </c>
      <c r="F970" t="s">
        <v>14</v>
      </c>
      <c r="G970" t="s">
        <v>15</v>
      </c>
      <c r="H970" t="s">
        <v>31</v>
      </c>
      <c r="I970" s="3">
        <v>3571</v>
      </c>
      <c r="J970" s="3">
        <v>357.10900000000004</v>
      </c>
      <c r="K970" t="s">
        <v>24</v>
      </c>
    </row>
    <row r="971" spans="1:11" x14ac:dyDescent="0.35">
      <c r="A971" t="s">
        <v>2719</v>
      </c>
      <c r="B971" t="s">
        <v>2720</v>
      </c>
      <c r="C971" t="str">
        <f t="shared" si="20"/>
        <v>Monday-10-2023</v>
      </c>
      <c r="E971" t="s">
        <v>13</v>
      </c>
      <c r="F971" t="s">
        <v>99</v>
      </c>
      <c r="G971" t="s">
        <v>30</v>
      </c>
      <c r="H971" t="s">
        <v>16</v>
      </c>
      <c r="I971" s="3">
        <v>4008</v>
      </c>
      <c r="J971" s="3">
        <v>200.43699999999998</v>
      </c>
      <c r="K971" t="s">
        <v>17</v>
      </c>
    </row>
    <row r="972" spans="1:11" x14ac:dyDescent="0.35">
      <c r="A972" t="s">
        <v>2721</v>
      </c>
      <c r="B972" t="s">
        <v>2722</v>
      </c>
      <c r="C972" t="str">
        <f t="shared" si="20"/>
        <v>Tuesday-07-2024</v>
      </c>
      <c r="D972" t="s">
        <v>2723</v>
      </c>
      <c r="E972" t="s">
        <v>112</v>
      </c>
      <c r="F972" t="s">
        <v>22</v>
      </c>
      <c r="G972" t="s">
        <v>23</v>
      </c>
      <c r="H972" t="s">
        <v>31</v>
      </c>
      <c r="I972" s="3">
        <v>3446</v>
      </c>
      <c r="J972" s="3">
        <v>689.25600000000009</v>
      </c>
      <c r="K972" t="s">
        <v>24</v>
      </c>
    </row>
    <row r="973" spans="1:11" x14ac:dyDescent="0.35">
      <c r="A973" t="s">
        <v>2724</v>
      </c>
      <c r="B973" t="s">
        <v>2725</v>
      </c>
      <c r="C973" t="str">
        <f t="shared" si="20"/>
        <v>Monday-11-2023</v>
      </c>
      <c r="D973" t="s">
        <v>2726</v>
      </c>
      <c r="E973" t="s">
        <v>79</v>
      </c>
      <c r="F973" t="s">
        <v>14</v>
      </c>
      <c r="G973" t="s">
        <v>30</v>
      </c>
      <c r="H973" t="s">
        <v>41</v>
      </c>
      <c r="I973" s="3">
        <v>2332</v>
      </c>
      <c r="J973" s="3">
        <v>233.25200000000001</v>
      </c>
      <c r="K973" t="s">
        <v>24</v>
      </c>
    </row>
    <row r="974" spans="1:11" x14ac:dyDescent="0.35">
      <c r="A974" t="s">
        <v>2727</v>
      </c>
      <c r="B974" t="s">
        <v>71</v>
      </c>
      <c r="C974" t="str">
        <f t="shared" si="20"/>
        <v>Tuesday-01-2023</v>
      </c>
      <c r="D974" t="s">
        <v>1520</v>
      </c>
      <c r="E974" t="s">
        <v>112</v>
      </c>
      <c r="F974" t="s">
        <v>66</v>
      </c>
      <c r="G974" t="s">
        <v>23</v>
      </c>
      <c r="H974" t="s">
        <v>31</v>
      </c>
      <c r="I974" s="3">
        <v>2374</v>
      </c>
      <c r="J974" s="3">
        <v>474.93999999999994</v>
      </c>
      <c r="K974" t="s">
        <v>24</v>
      </c>
    </row>
    <row r="975" spans="1:11" x14ac:dyDescent="0.35">
      <c r="A975" t="s">
        <v>2728</v>
      </c>
      <c r="B975" t="s">
        <v>2729</v>
      </c>
      <c r="C975" t="str">
        <f t="shared" si="20"/>
        <v xml:space="preserve"> 09-Jun-2023</v>
      </c>
      <c r="D975" t="s">
        <v>2072</v>
      </c>
      <c r="E975" t="s">
        <v>35</v>
      </c>
      <c r="F975" t="s">
        <v>14</v>
      </c>
      <c r="G975" t="s">
        <v>15</v>
      </c>
      <c r="H975" t="s">
        <v>41</v>
      </c>
      <c r="I975" s="3">
        <v>3788</v>
      </c>
      <c r="J975" s="3">
        <v>189.41900000000001</v>
      </c>
      <c r="K975" t="s">
        <v>24</v>
      </c>
    </row>
    <row r="976" spans="1:11" x14ac:dyDescent="0.35">
      <c r="A976" t="s">
        <v>2730</v>
      </c>
      <c r="B976" t="s">
        <v>2731</v>
      </c>
      <c r="C976" t="str">
        <f t="shared" si="20"/>
        <v>Sunday-08-2023</v>
      </c>
      <c r="D976" t="s">
        <v>2732</v>
      </c>
      <c r="E976" t="s">
        <v>375</v>
      </c>
      <c r="F976" t="s">
        <v>57</v>
      </c>
      <c r="G976" t="s">
        <v>23</v>
      </c>
      <c r="H976" t="s">
        <v>16</v>
      </c>
      <c r="I976" s="3">
        <v>1841</v>
      </c>
      <c r="J976" s="3">
        <v>184.12</v>
      </c>
      <c r="K976" t="s">
        <v>24</v>
      </c>
    </row>
    <row r="977" spans="1:11" x14ac:dyDescent="0.35">
      <c r="A977" t="s">
        <v>2733</v>
      </c>
      <c r="B977" t="s">
        <v>2734</v>
      </c>
      <c r="C977" t="str">
        <f t="shared" si="20"/>
        <v>Monday-09-2024</v>
      </c>
      <c r="D977" t="s">
        <v>2735</v>
      </c>
      <c r="E977" t="s">
        <v>45</v>
      </c>
      <c r="F977" t="s">
        <v>99</v>
      </c>
      <c r="G977" t="s">
        <v>30</v>
      </c>
      <c r="H977" t="s">
        <v>41</v>
      </c>
      <c r="I977" s="3">
        <v>4870</v>
      </c>
      <c r="J977" s="3">
        <v>974.18200000000002</v>
      </c>
      <c r="K977" t="s">
        <v>37</v>
      </c>
    </row>
    <row r="978" spans="1:11" x14ac:dyDescent="0.35">
      <c r="A978" t="s">
        <v>2736</v>
      </c>
      <c r="B978" t="s">
        <v>2737</v>
      </c>
      <c r="C978" t="str">
        <f t="shared" si="20"/>
        <v>Friday-07-2023</v>
      </c>
      <c r="D978" t="s">
        <v>838</v>
      </c>
      <c r="E978" t="s">
        <v>112</v>
      </c>
      <c r="F978" t="s">
        <v>36</v>
      </c>
      <c r="G978" t="s">
        <v>30</v>
      </c>
      <c r="H978" t="s">
        <v>31</v>
      </c>
      <c r="I978" s="3">
        <v>454</v>
      </c>
      <c r="J978" s="3">
        <v>0</v>
      </c>
      <c r="K978" t="s">
        <v>37</v>
      </c>
    </row>
    <row r="979" spans="1:11" x14ac:dyDescent="0.35">
      <c r="A979" t="s">
        <v>2738</v>
      </c>
      <c r="B979" t="s">
        <v>2739</v>
      </c>
      <c r="C979" t="str">
        <f t="shared" si="20"/>
        <v>Friday-04-2025</v>
      </c>
      <c r="D979" t="s">
        <v>2740</v>
      </c>
      <c r="E979" t="s">
        <v>13</v>
      </c>
      <c r="F979" t="s">
        <v>36</v>
      </c>
      <c r="G979" t="s">
        <v>15</v>
      </c>
      <c r="H979" t="s">
        <v>16</v>
      </c>
      <c r="I979" s="3">
        <v>3625</v>
      </c>
      <c r="J979" s="3">
        <v>0</v>
      </c>
      <c r="K979" t="s">
        <v>24</v>
      </c>
    </row>
    <row r="980" spans="1:11" x14ac:dyDescent="0.35">
      <c r="A980" t="s">
        <v>2741</v>
      </c>
      <c r="B980" t="s">
        <v>2742</v>
      </c>
      <c r="C980" t="str">
        <f t="shared" si="20"/>
        <v>Tuesday-01-2024</v>
      </c>
      <c r="D980" t="s">
        <v>2743</v>
      </c>
      <c r="E980" t="s">
        <v>375</v>
      </c>
      <c r="F980" t="s">
        <v>36</v>
      </c>
      <c r="G980" t="s">
        <v>23</v>
      </c>
      <c r="H980" t="s">
        <v>41</v>
      </c>
      <c r="I980" s="3">
        <v>4089</v>
      </c>
      <c r="J980" s="3">
        <v>817.81999999999994</v>
      </c>
      <c r="K980" t="s">
        <v>24</v>
      </c>
    </row>
    <row r="981" spans="1:11" x14ac:dyDescent="0.35">
      <c r="A981" t="s">
        <v>2744</v>
      </c>
      <c r="B981" t="s">
        <v>2745</v>
      </c>
      <c r="C981" t="str">
        <f t="shared" si="20"/>
        <v xml:space="preserve"> 05-16-2023 </v>
      </c>
      <c r="D981" t="s">
        <v>2746</v>
      </c>
      <c r="E981" t="s">
        <v>112</v>
      </c>
      <c r="F981" t="s">
        <v>66</v>
      </c>
      <c r="G981" t="s">
        <v>30</v>
      </c>
      <c r="H981" t="s">
        <v>16</v>
      </c>
      <c r="I981" s="3">
        <v>3701</v>
      </c>
      <c r="J981" s="3">
        <v>740.27200000000005</v>
      </c>
      <c r="K981" t="s">
        <v>37</v>
      </c>
    </row>
    <row r="982" spans="1:11" x14ac:dyDescent="0.35">
      <c r="A982" t="s">
        <v>2747</v>
      </c>
      <c r="B982" t="s">
        <v>2748</v>
      </c>
      <c r="C982" t="str">
        <f t="shared" si="20"/>
        <v>Monday-04-2025</v>
      </c>
      <c r="D982" t="s">
        <v>2749</v>
      </c>
      <c r="E982" t="s">
        <v>45</v>
      </c>
      <c r="F982" t="s">
        <v>36</v>
      </c>
      <c r="G982" t="s">
        <v>23</v>
      </c>
      <c r="H982" t="s">
        <v>41</v>
      </c>
      <c r="I982" s="3">
        <v>4050</v>
      </c>
      <c r="J982" s="3">
        <v>810.14799999999991</v>
      </c>
      <c r="K982" t="s">
        <v>24</v>
      </c>
    </row>
    <row r="983" spans="1:11" x14ac:dyDescent="0.35">
      <c r="A983" t="s">
        <v>2750</v>
      </c>
      <c r="B983" t="s">
        <v>2751</v>
      </c>
      <c r="C983" t="str">
        <f t="shared" si="20"/>
        <v>02-13-2023 22:48</v>
      </c>
      <c r="D983" t="s">
        <v>2752</v>
      </c>
      <c r="E983" t="s">
        <v>49</v>
      </c>
      <c r="F983" t="s">
        <v>36</v>
      </c>
      <c r="G983" t="s">
        <v>23</v>
      </c>
      <c r="H983" t="s">
        <v>41</v>
      </c>
      <c r="I983" s="3">
        <v>714</v>
      </c>
      <c r="J983" s="3">
        <v>0</v>
      </c>
      <c r="K983" t="s">
        <v>37</v>
      </c>
    </row>
    <row r="984" spans="1:11" x14ac:dyDescent="0.35">
      <c r="A984" t="s">
        <v>2753</v>
      </c>
      <c r="B984" t="s">
        <v>2754</v>
      </c>
      <c r="C984" t="str">
        <f t="shared" si="20"/>
        <v>Thursday-11-2024</v>
      </c>
      <c r="D984" t="s">
        <v>2755</v>
      </c>
      <c r="E984" t="s">
        <v>28</v>
      </c>
      <c r="F984" t="s">
        <v>29</v>
      </c>
      <c r="G984" t="s">
        <v>15</v>
      </c>
      <c r="H984" t="s">
        <v>41</v>
      </c>
      <c r="I984" s="3">
        <v>2433</v>
      </c>
      <c r="J984" s="3">
        <v>0</v>
      </c>
      <c r="K984" t="s">
        <v>37</v>
      </c>
    </row>
    <row r="985" spans="1:11" x14ac:dyDescent="0.35">
      <c r="A985" t="s">
        <v>2756</v>
      </c>
      <c r="B985" t="s">
        <v>2757</v>
      </c>
      <c r="C985" t="str">
        <f t="shared" si="20"/>
        <v>Tuesday-09-2024</v>
      </c>
      <c r="D985" t="s">
        <v>2758</v>
      </c>
      <c r="E985" t="s">
        <v>61</v>
      </c>
      <c r="F985" t="s">
        <v>99</v>
      </c>
      <c r="G985" t="s">
        <v>15</v>
      </c>
      <c r="H985" t="s">
        <v>16</v>
      </c>
      <c r="I985" s="3">
        <v>3662</v>
      </c>
      <c r="J985" s="3">
        <v>732.46800000000007</v>
      </c>
      <c r="K985" t="s">
        <v>37</v>
      </c>
    </row>
    <row r="986" spans="1:11" x14ac:dyDescent="0.35">
      <c r="A986" t="s">
        <v>2759</v>
      </c>
      <c r="B986" t="s">
        <v>2760</v>
      </c>
      <c r="C986" t="str">
        <f t="shared" si="20"/>
        <v>10-29-2023 18:35</v>
      </c>
      <c r="D986" t="s">
        <v>2761</v>
      </c>
      <c r="E986" t="s">
        <v>28</v>
      </c>
      <c r="F986" t="s">
        <v>14</v>
      </c>
      <c r="G986" t="s">
        <v>15</v>
      </c>
      <c r="H986" t="s">
        <v>16</v>
      </c>
      <c r="I986" s="3">
        <v>2151</v>
      </c>
      <c r="J986" s="3">
        <v>215.11999999999998</v>
      </c>
      <c r="K986" t="s">
        <v>17</v>
      </c>
    </row>
    <row r="987" spans="1:11" x14ac:dyDescent="0.35">
      <c r="A987" t="s">
        <v>2762</v>
      </c>
      <c r="B987" t="s">
        <v>2763</v>
      </c>
      <c r="C987" t="str">
        <f t="shared" si="20"/>
        <v>Sunday-11-2024</v>
      </c>
      <c r="D987" t="s">
        <v>2764</v>
      </c>
      <c r="E987" t="s">
        <v>112</v>
      </c>
      <c r="F987" t="s">
        <v>22</v>
      </c>
      <c r="G987" t="s">
        <v>30</v>
      </c>
      <c r="H987" t="s">
        <v>41</v>
      </c>
      <c r="I987" s="3">
        <v>663</v>
      </c>
      <c r="J987" s="3">
        <v>0</v>
      </c>
      <c r="K987" t="s">
        <v>37</v>
      </c>
    </row>
    <row r="988" spans="1:11" x14ac:dyDescent="0.35">
      <c r="A988" t="s">
        <v>2765</v>
      </c>
      <c r="B988" t="s">
        <v>2766</v>
      </c>
      <c r="C988" t="str">
        <f t="shared" si="20"/>
        <v>Saturday-09-2023</v>
      </c>
      <c r="D988" t="s">
        <v>2767</v>
      </c>
      <c r="E988" t="s">
        <v>103</v>
      </c>
      <c r="F988" t="s">
        <v>86</v>
      </c>
      <c r="G988" t="s">
        <v>15</v>
      </c>
      <c r="H988" t="s">
        <v>16</v>
      </c>
      <c r="I988" s="3">
        <v>2839</v>
      </c>
      <c r="J988" s="3">
        <v>283.97399999999999</v>
      </c>
      <c r="K988" t="s">
        <v>17</v>
      </c>
    </row>
    <row r="989" spans="1:11" x14ac:dyDescent="0.35">
      <c r="A989" t="s">
        <v>2768</v>
      </c>
      <c r="B989" t="s">
        <v>2769</v>
      </c>
      <c r="C989" t="str">
        <f t="shared" si="20"/>
        <v xml:space="preserve"> 27/12/2024</v>
      </c>
      <c r="D989" t="s">
        <v>2770</v>
      </c>
      <c r="E989" t="s">
        <v>13</v>
      </c>
      <c r="F989" t="s">
        <v>29</v>
      </c>
      <c r="G989" t="s">
        <v>15</v>
      </c>
      <c r="H989" t="s">
        <v>16</v>
      </c>
      <c r="I989" s="3">
        <v>138</v>
      </c>
      <c r="J989" s="3">
        <v>6.9314999999999998</v>
      </c>
      <c r="K989" t="s">
        <v>37</v>
      </c>
    </row>
    <row r="990" spans="1:11" x14ac:dyDescent="0.35">
      <c r="A990" t="s">
        <v>2771</v>
      </c>
      <c r="B990" t="s">
        <v>2772</v>
      </c>
      <c r="C990" t="str">
        <f t="shared" si="20"/>
        <v>Wednesday-10-2024</v>
      </c>
      <c r="D990" t="s">
        <v>2773</v>
      </c>
      <c r="E990" t="s">
        <v>28</v>
      </c>
      <c r="F990" t="s">
        <v>143</v>
      </c>
      <c r="G990" t="s">
        <v>15</v>
      </c>
      <c r="H990" t="s">
        <v>31</v>
      </c>
      <c r="I990" s="3">
        <v>1325</v>
      </c>
      <c r="J990" s="3">
        <v>265.06799999999998</v>
      </c>
      <c r="K990" t="s">
        <v>17</v>
      </c>
    </row>
    <row r="991" spans="1:11" x14ac:dyDescent="0.35">
      <c r="A991" t="s">
        <v>2774</v>
      </c>
      <c r="B991" t="s">
        <v>2775</v>
      </c>
      <c r="C991" t="str">
        <f t="shared" si="20"/>
        <v>Thursday-04-2025</v>
      </c>
      <c r="D991" t="s">
        <v>2776</v>
      </c>
      <c r="E991" t="s">
        <v>13</v>
      </c>
      <c r="F991" t="s">
        <v>29</v>
      </c>
      <c r="G991" t="s">
        <v>30</v>
      </c>
      <c r="H991" t="s">
        <v>31</v>
      </c>
      <c r="I991" s="3">
        <v>3172</v>
      </c>
      <c r="J991" s="3">
        <v>0</v>
      </c>
      <c r="K991" t="s">
        <v>37</v>
      </c>
    </row>
    <row r="992" spans="1:11" x14ac:dyDescent="0.35">
      <c r="A992" t="s">
        <v>2777</v>
      </c>
      <c r="B992" t="s">
        <v>2778</v>
      </c>
      <c r="C992" t="str">
        <f t="shared" si="20"/>
        <v>Thursday-06-2024</v>
      </c>
      <c r="D992" t="s">
        <v>2779</v>
      </c>
      <c r="E992" t="s">
        <v>45</v>
      </c>
      <c r="F992" t="s">
        <v>86</v>
      </c>
      <c r="G992" t="s">
        <v>30</v>
      </c>
      <c r="H992" t="s">
        <v>31</v>
      </c>
      <c r="I992" s="3">
        <v>3883</v>
      </c>
      <c r="J992" s="3">
        <v>0</v>
      </c>
      <c r="K992" t="s">
        <v>37</v>
      </c>
    </row>
    <row r="993" spans="1:11" x14ac:dyDescent="0.35">
      <c r="A993" t="s">
        <v>2780</v>
      </c>
      <c r="B993" t="s">
        <v>2781</v>
      </c>
      <c r="C993" t="str">
        <f t="shared" si="20"/>
        <v>Monday-04-2024</v>
      </c>
      <c r="D993" t="s">
        <v>2782</v>
      </c>
      <c r="E993" t="s">
        <v>49</v>
      </c>
      <c r="F993" t="s">
        <v>22</v>
      </c>
      <c r="G993" t="s">
        <v>23</v>
      </c>
      <c r="H993" t="s">
        <v>16</v>
      </c>
      <c r="I993" s="3">
        <v>2643</v>
      </c>
      <c r="J993" s="3">
        <v>176.24866666666668</v>
      </c>
      <c r="K993" t="s">
        <v>24</v>
      </c>
    </row>
    <row r="994" spans="1:11" x14ac:dyDescent="0.35">
      <c r="A994" t="s">
        <v>2783</v>
      </c>
      <c r="B994" t="s">
        <v>2784</v>
      </c>
      <c r="C994" t="str">
        <f t="shared" si="20"/>
        <v>Wednesday-01-2024</v>
      </c>
      <c r="D994" t="s">
        <v>2785</v>
      </c>
      <c r="E994" t="s">
        <v>108</v>
      </c>
      <c r="F994" t="s">
        <v>143</v>
      </c>
      <c r="G994" t="s">
        <v>23</v>
      </c>
      <c r="H994" t="s">
        <v>31</v>
      </c>
      <c r="I994" s="3">
        <v>4310</v>
      </c>
      <c r="J994" s="3">
        <v>431.01400000000001</v>
      </c>
      <c r="K994" t="s">
        <v>37</v>
      </c>
    </row>
    <row r="995" spans="1:11" x14ac:dyDescent="0.35">
      <c r="A995" t="s">
        <v>2786</v>
      </c>
      <c r="B995" t="s">
        <v>2787</v>
      </c>
      <c r="C995" t="str">
        <f t="shared" si="20"/>
        <v xml:space="preserve"> 29 April 2023</v>
      </c>
      <c r="D995" t="s">
        <v>2788</v>
      </c>
      <c r="E995" t="s">
        <v>49</v>
      </c>
      <c r="F995" t="s">
        <v>22</v>
      </c>
      <c r="G995" t="s">
        <v>15</v>
      </c>
      <c r="H995" t="s">
        <v>16</v>
      </c>
      <c r="I995" s="3">
        <v>3727</v>
      </c>
      <c r="J995" s="3">
        <v>0</v>
      </c>
      <c r="K995" t="s">
        <v>17</v>
      </c>
    </row>
    <row r="996" spans="1:11" x14ac:dyDescent="0.35">
      <c r="A996" t="s">
        <v>2789</v>
      </c>
      <c r="B996" t="s">
        <v>2790</v>
      </c>
      <c r="C996" t="str">
        <f t="shared" si="20"/>
        <v>Monday-08-2023</v>
      </c>
      <c r="D996" t="s">
        <v>2791</v>
      </c>
      <c r="E996" t="s">
        <v>202</v>
      </c>
      <c r="F996" t="s">
        <v>14</v>
      </c>
      <c r="G996" t="s">
        <v>23</v>
      </c>
      <c r="H996" t="s">
        <v>31</v>
      </c>
      <c r="I996" s="3">
        <v>1995</v>
      </c>
      <c r="J996" s="3">
        <v>399.06399999999996</v>
      </c>
      <c r="K996" t="s">
        <v>17</v>
      </c>
    </row>
    <row r="997" spans="1:11" x14ac:dyDescent="0.35">
      <c r="A997" t="s">
        <v>2792</v>
      </c>
      <c r="B997" t="s">
        <v>2793</v>
      </c>
      <c r="C997" t="str">
        <f t="shared" si="20"/>
        <v>Saturday-05-2024</v>
      </c>
      <c r="D997" t="s">
        <v>2794</v>
      </c>
      <c r="E997" t="s">
        <v>61</v>
      </c>
      <c r="F997" t="s">
        <v>62</v>
      </c>
      <c r="G997" t="s">
        <v>30</v>
      </c>
      <c r="H997" t="s">
        <v>31</v>
      </c>
      <c r="I997" s="3">
        <v>817</v>
      </c>
      <c r="J997" s="3">
        <v>0</v>
      </c>
      <c r="K997" t="s">
        <v>24</v>
      </c>
    </row>
    <row r="998" spans="1:11" x14ac:dyDescent="0.35">
      <c r="A998" t="s">
        <v>2795</v>
      </c>
      <c r="B998" t="s">
        <v>2796</v>
      </c>
      <c r="C998" t="str">
        <f t="shared" si="20"/>
        <v>Sunday-10-2023</v>
      </c>
      <c r="D998" t="s">
        <v>2797</v>
      </c>
      <c r="E998" t="s">
        <v>13</v>
      </c>
      <c r="F998" t="s">
        <v>143</v>
      </c>
      <c r="G998" t="s">
        <v>30</v>
      </c>
      <c r="H998" t="s">
        <v>31</v>
      </c>
      <c r="I998" s="3">
        <v>3543</v>
      </c>
      <c r="J998" s="3">
        <v>0</v>
      </c>
      <c r="K998" t="s">
        <v>24</v>
      </c>
    </row>
    <row r="999" spans="1:11" x14ac:dyDescent="0.35">
      <c r="A999" t="s">
        <v>2798</v>
      </c>
      <c r="B999" t="s">
        <v>2799</v>
      </c>
      <c r="C999" t="str">
        <f t="shared" si="20"/>
        <v>Sunday-11-2023</v>
      </c>
      <c r="D999" t="s">
        <v>2800</v>
      </c>
      <c r="E999" t="s">
        <v>49</v>
      </c>
      <c r="F999" t="s">
        <v>29</v>
      </c>
      <c r="G999" t="s">
        <v>23</v>
      </c>
      <c r="H999" t="s">
        <v>16</v>
      </c>
      <c r="I999" s="3">
        <v>574</v>
      </c>
      <c r="J999" s="3">
        <v>114.95599999999999</v>
      </c>
      <c r="K999" t="s">
        <v>17</v>
      </c>
    </row>
    <row r="1000" spans="1:11" x14ac:dyDescent="0.35">
      <c r="A1000" t="s">
        <v>2801</v>
      </c>
      <c r="B1000" t="s">
        <v>2802</v>
      </c>
      <c r="C1000" t="str">
        <f t="shared" si="20"/>
        <v xml:space="preserve"> 06 July 2024</v>
      </c>
      <c r="D1000" t="s">
        <v>2803</v>
      </c>
      <c r="E1000" t="s">
        <v>108</v>
      </c>
      <c r="F1000" t="s">
        <v>143</v>
      </c>
      <c r="G1000" t="s">
        <v>30</v>
      </c>
      <c r="H1000" t="s">
        <v>41</v>
      </c>
      <c r="I1000" s="3">
        <v>3221</v>
      </c>
      <c r="J1000" s="3">
        <v>322.13200000000001</v>
      </c>
      <c r="K1000" t="s">
        <v>17</v>
      </c>
    </row>
    <row r="1001" spans="1:11" x14ac:dyDescent="0.35">
      <c r="A1001" t="s">
        <v>2804</v>
      </c>
      <c r="B1001" t="s">
        <v>2805</v>
      </c>
      <c r="C1001" t="str">
        <f t="shared" si="20"/>
        <v>Tuesday-10-2023</v>
      </c>
      <c r="D1001" t="s">
        <v>2806</v>
      </c>
      <c r="E1001" t="s">
        <v>28</v>
      </c>
      <c r="F1001" t="s">
        <v>22</v>
      </c>
      <c r="G1001" t="s">
        <v>23</v>
      </c>
      <c r="H1001" t="s">
        <v>31</v>
      </c>
      <c r="I1001" s="3">
        <v>3983</v>
      </c>
      <c r="J1001" s="3">
        <v>265.59466666666668</v>
      </c>
      <c r="K1001" t="s">
        <v>17</v>
      </c>
    </row>
  </sheetData>
  <mergeCells count="1">
    <mergeCell ref="R7:S7"/>
  </mergeCells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Hassan</cp:lastModifiedBy>
  <dcterms:created xsi:type="dcterms:W3CDTF">2026-08-01T14:48:28Z</dcterms:created>
  <dcterms:modified xsi:type="dcterms:W3CDTF">2026-08-02T17:15:16Z</dcterms:modified>
</cp:coreProperties>
</file>